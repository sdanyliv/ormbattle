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75" windowWidth="24495" windowHeight="11955"/>
  </bookViews>
  <sheets>
    <sheet name="1000" sheetId="1" r:id="rId1"/>
  </sheets>
  <definedNames>
    <definedName name="LargePageSize">'1000'!#REF!</definedName>
    <definedName name="_xlnm.Print_Area" localSheetId="0">'1000'!$A$1:$M$154</definedName>
    <definedName name="SmallPageSize">'1000'!#REF!</definedName>
  </definedNames>
  <calcPr calcId="125725" refMode="R1C1"/>
</workbook>
</file>

<file path=xl/calcChain.xml><?xml version="1.0" encoding="utf-8"?>
<calcChain xmlns="http://schemas.openxmlformats.org/spreadsheetml/2006/main">
  <c r="D49" i="1"/>
  <c r="D48"/>
  <c r="D47"/>
  <c r="D46"/>
  <c r="D44"/>
  <c r="D43"/>
  <c r="D42"/>
  <c r="D41"/>
  <c r="D39"/>
  <c r="D55"/>
  <c r="D63"/>
</calcChain>
</file>

<file path=xl/comments1.xml><?xml version="1.0" encoding="utf-8"?>
<comments xmlns="http://schemas.openxmlformats.org/spreadsheetml/2006/main">
  <authors>
    <author>Alex Yakunin</author>
  </authors>
  <commentList>
    <comment ref="G46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
SqlQuery&lt;T&gt;.Insert(…, int batchSize, IEnumerable&lt;T&gt; sequence)</t>
        </r>
      </text>
    </comment>
    <comment ref="J46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 ISessionFactory.OpenStatelessSession is used in this test.</t>
        </r>
      </text>
    </comment>
    <comment ref="G47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
SqlQuery&lt;T&gt;.Update(…, int batchSize, IEnumerable&lt;T&gt; sequence)</t>
        </r>
      </text>
    </comment>
    <comment ref="J47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 ISessionFactory.OpenStatelessSession is used in this test.</t>
        </r>
      </text>
    </comment>
    <comment ref="G48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
SqlQuery&lt;T&gt;.Delete(…, int batchSize, IEnumerable&lt;T&gt; sequence)</t>
        </r>
      </text>
    </comment>
    <comment ref="J48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 ISessionFactory.OpenStatelessSession is used in this test.</t>
        </r>
      </text>
    </comment>
    <comment ref="I54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Complied queries are not supported, result is copied from above cell.</t>
        </r>
      </text>
    </comment>
    <comment ref="J54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Complied queries are not supported, result is copied from above cell.</t>
        </r>
      </text>
    </comment>
    <comment ref="L54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Complied queries are not supported, result is copied from above cell.</t>
        </r>
      </text>
    </comment>
    <comment ref="F55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No native queries, result is copied from above cell.</t>
        </r>
      </text>
    </comment>
    <comment ref="F63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No native queries, result is copied from above cell.</t>
        </r>
      </text>
    </comment>
  </commentList>
</comments>
</file>

<file path=xl/sharedStrings.xml><?xml version="1.0" encoding="utf-8"?>
<sst xmlns="http://schemas.openxmlformats.org/spreadsheetml/2006/main" count="200" uniqueCount="91">
  <si>
    <t>SqlClient</t>
  </si>
  <si>
    <t>OpenAccess</t>
  </si>
  <si>
    <t>Color bar</t>
  </si>
  <si>
    <t>Test name</t>
  </si>
  <si>
    <t>Subsonic</t>
  </si>
  <si>
    <t>Runtime libraries (.dlls)</t>
  </si>
  <si>
    <t>Result charts, page 1:</t>
  </si>
  <si>
    <r>
      <t xml:space="preserve">Visit </t>
    </r>
    <r>
      <rPr>
        <u/>
        <sz val="11"/>
        <color theme="4" tint="-0.249977111117893"/>
        <rFont val="Calibri"/>
        <family val="2"/>
        <charset val="204"/>
        <scheme val="minor"/>
      </rPr>
      <t>http://ormbattle.net</t>
    </r>
    <r>
      <rPr>
        <sz val="11"/>
        <color theme="1"/>
        <rFont val="Calibri"/>
        <family val="2"/>
        <charset val="204"/>
        <scheme val="minor"/>
      </rPr>
      <t xml:space="preserve"> for details</t>
    </r>
  </si>
  <si>
    <t>File sizes (in bytes):</t>
  </si>
  <si>
    <t>n/a</t>
  </si>
  <si>
    <t>Larger = better!</t>
  </si>
  <si>
    <t>NHibernate</t>
  </si>
  <si>
    <t>Best result</t>
  </si>
  <si>
    <t>ORMBattle.NET test results</t>
  </si>
  <si>
    <t>1000 item sequence</t>
  </si>
  <si>
    <t>BLToolkit</t>
  </si>
  <si>
    <t>Unit</t>
  </si>
  <si>
    <t xml:space="preserve">  Aggregates</t>
  </si>
  <si>
    <t>f,a</t>
  </si>
  <si>
    <t xml:space="preserve">  All/Any/Contains</t>
  </si>
  <si>
    <t xml:space="preserve">  Complex</t>
  </si>
  <si>
    <t xml:space="preserve">  Element operations</t>
  </si>
  <si>
    <t xml:space="preserve">  Filtering</t>
  </si>
  <si>
    <t xml:space="preserve">  Grouping</t>
  </si>
  <si>
    <t xml:space="preserve">  Join</t>
  </si>
  <si>
    <t xml:space="preserve">  Ordering</t>
  </si>
  <si>
    <t xml:space="preserve">  Projections</t>
  </si>
  <si>
    <t xml:space="preserve">  References</t>
  </si>
  <si>
    <t xml:space="preserve">  Set operations</t>
  </si>
  <si>
    <t xml:space="preserve">  Standard functions</t>
  </si>
  <si>
    <t xml:space="preserve">  Take/Skip</t>
  </si>
  <si>
    <t xml:space="preserve">  Type casts</t>
  </si>
  <si>
    <t xml:space="preserve">  Performed</t>
  </si>
  <si>
    <t>#</t>
  </si>
  <si>
    <t xml:space="preserve">  Passed</t>
  </si>
  <si>
    <t xml:space="preserve">  Failed</t>
  </si>
  <si>
    <t xml:space="preserve">    Properly</t>
  </si>
  <si>
    <t xml:space="preserve">    Asserted</t>
  </si>
  <si>
    <t xml:space="preserve">  Score</t>
  </si>
  <si>
    <t>%</t>
  </si>
  <si>
    <t>Minimum</t>
  </si>
  <si>
    <t>Maximum</t>
  </si>
  <si>
    <t>CRUD Performance:</t>
  </si>
  <si>
    <t xml:space="preserve">  Fetch</t>
  </si>
  <si>
    <t>op/s</t>
  </si>
  <si>
    <t xml:space="preserve">  Single Operation:</t>
  </si>
  <si>
    <t xml:space="preserve">    Create Instance</t>
  </si>
  <si>
    <t xml:space="preserve">    Update Instance</t>
  </si>
  <si>
    <t xml:space="preserve">    Remove Instance</t>
  </si>
  <si>
    <t xml:space="preserve">    CUD Average</t>
  </si>
  <si>
    <t xml:space="preserve">  Multiple Operations:</t>
  </si>
  <si>
    <t>Data Access Performance:</t>
  </si>
  <si>
    <t xml:space="preserve">  Query:</t>
  </si>
  <si>
    <t xml:space="preserve">    LINQ Query</t>
  </si>
  <si>
    <t>queries/s</t>
  </si>
  <si>
    <t xml:space="preserve">    Compiled LINQ Query</t>
  </si>
  <si>
    <t xml:space="preserve">    Native Query</t>
  </si>
  <si>
    <t xml:space="preserve">  Paging (LINQ only):</t>
  </si>
  <si>
    <t xml:space="preserve">    Get Small Page   (10 items)</t>
  </si>
  <si>
    <t>pages/s</t>
  </si>
  <si>
    <t xml:space="preserve">    Get Average Page (20 items)</t>
  </si>
  <si>
    <t xml:space="preserve">    Get Large Page   (50 items)</t>
  </si>
  <si>
    <t xml:space="preserve">    Get Huge Page    (100 items)</t>
  </si>
  <si>
    <t xml:space="preserve">  Materialization:</t>
  </si>
  <si>
    <t xml:space="preserve">    LINQ Materialize</t>
  </si>
  <si>
    <t>objects/s</t>
  </si>
  <si>
    <t xml:space="preserve">    Native Materialize</t>
  </si>
  <si>
    <t>LINQ Implementation total:</t>
  </si>
  <si>
    <t>Entity Framework</t>
  </si>
  <si>
    <t>Units:</t>
  </si>
  <si>
    <t xml:space="preserve">  f/a</t>
  </si>
  <si>
    <t xml:space="preserve">  #</t>
  </si>
  <si>
    <t xml:space="preserve">  %</t>
  </si>
  <si>
    <t xml:space="preserve">  op/s</t>
  </si>
  <si>
    <t xml:space="preserve">  queries/s</t>
  </si>
  <si>
    <t xml:space="preserve">  pages/s</t>
  </si>
  <si>
    <t xml:space="preserve">  objects/s</t>
  </si>
  <si>
    <t>count</t>
  </si>
  <si>
    <t>percentage (% of passed tests), more is better</t>
  </si>
  <si>
    <t>operations per second, more is better</t>
  </si>
  <si>
    <t>queries per second, more is better</t>
  </si>
  <si>
    <t>pages per second, more is better</t>
  </si>
  <si>
    <t># of materialized objects per second, more is better</t>
  </si>
  <si>
    <t>LINQ implementation</t>
  </si>
  <si>
    <t>LINQ to SQL</t>
  </si>
  <si>
    <t>DataObjects.Net</t>
  </si>
  <si>
    <t>total count of failed tests [, count of tests failed with assertion ], less is better (0 is ideal)</t>
  </si>
  <si>
    <t>bytes</t>
  </si>
  <si>
    <t xml:space="preserve">     </t>
  </si>
  <si>
    <t>Worst result</t>
  </si>
  <si>
    <t>LinqConnect</t>
  </si>
</sst>
</file>

<file path=xl/styles.xml><?xml version="1.0" encoding="utf-8"?>
<styleSheet xmlns="http://schemas.openxmlformats.org/spreadsheetml/2006/main">
  <fonts count="2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u/>
      <sz val="11"/>
      <color theme="4" tint="-0.249977111117893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6" tint="0.79998168889431442"/>
      </patternFill>
    </fill>
    <fill>
      <patternFill patternType="solid">
        <fgColor theme="2" tint="-9.9978637043366805E-2"/>
        <bgColor theme="6" tint="0.79998168889431442"/>
      </patternFill>
    </fill>
    <fill>
      <gradientFill>
        <stop position="0">
          <color rgb="FFFDD17F"/>
        </stop>
        <stop position="1">
          <color rgb="FFFFEB84"/>
        </stop>
      </gradientFill>
    </fill>
    <fill>
      <gradientFill>
        <stop position="0">
          <color rgb="FFFFEB84"/>
        </stop>
        <stop position="1">
          <color rgb="FFE0E383"/>
        </stop>
      </gradientFill>
    </fill>
    <fill>
      <gradientFill>
        <stop position="0">
          <color rgb="FFE0E383"/>
        </stop>
        <stop position="1">
          <color rgb="FF92CC7E"/>
        </stop>
      </gradientFill>
    </fill>
    <fill>
      <gradientFill>
        <stop position="0">
          <color rgb="FF92CC7E"/>
        </stop>
        <stop position="1">
          <color rgb="FF63BE7B"/>
        </stop>
      </gradientFill>
    </fill>
    <fill>
      <patternFill patternType="solid">
        <fgColor theme="6"/>
        <bgColor theme="6"/>
      </patternFill>
    </fill>
    <fill>
      <gradientFill>
        <stop position="0">
          <color rgb="FFFA9072"/>
        </stop>
        <stop position="1">
          <color rgb="FFFDD17F"/>
        </stop>
      </gradientFill>
    </fill>
    <fill>
      <patternFill patternType="solid">
        <fgColor theme="0" tint="-4.9989318521683403E-2"/>
        <bgColor indexed="64"/>
      </patternFill>
    </fill>
    <fill>
      <gradientFill>
        <stop position="0">
          <color rgb="FFF8696B"/>
        </stop>
        <stop position="1">
          <color rgb="FFFA9072"/>
        </stop>
      </gradientFill>
    </fill>
    <fill>
      <patternFill patternType="solid">
        <fgColor rgb="FFF8696B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  <border>
      <left/>
      <right/>
      <top style="thin">
        <color rgb="FFC2D69A"/>
      </top>
      <bottom style="thin">
        <color rgb="FFC2D69A"/>
      </bottom>
      <diagonal/>
    </border>
    <border>
      <left style="thin">
        <color theme="6" tint="0.39997558519241921"/>
      </left>
      <right style="thin">
        <color theme="6" tint="0.39994506668294322"/>
      </right>
      <top style="thin">
        <color theme="6" tint="0.39997558519241921"/>
      </top>
      <bottom style="thin">
        <color theme="6" tint="0.3999755851924192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</cellStyleXfs>
  <cellXfs count="82">
    <xf numFmtId="0" fontId="0" fillId="0" borderId="0" xfId="0"/>
    <xf numFmtId="49" fontId="0" fillId="0" borderId="0" xfId="0" applyNumberFormat="1"/>
    <xf numFmtId="0" fontId="16" fillId="0" borderId="0" xfId="0" applyFont="1"/>
    <xf numFmtId="1" fontId="16" fillId="34" borderId="0" xfId="0" applyNumberFormat="1" applyFont="1" applyFill="1"/>
    <xf numFmtId="49" fontId="16" fillId="35" borderId="0" xfId="0" applyNumberFormat="1" applyFont="1" applyFill="1" applyAlignment="1">
      <alignment horizontal="left"/>
    </xf>
    <xf numFmtId="1" fontId="16" fillId="35" borderId="0" xfId="0" applyNumberFormat="1" applyFont="1" applyFill="1"/>
    <xf numFmtId="49" fontId="16" fillId="0" borderId="0" xfId="0" applyNumberFormat="1" applyFont="1" applyBorder="1" applyAlignment="1">
      <alignment horizontal="left"/>
    </xf>
    <xf numFmtId="49" fontId="16" fillId="34" borderId="0" xfId="0" applyNumberFormat="1" applyFont="1" applyFill="1" applyAlignment="1">
      <alignment horizontal="left"/>
    </xf>
    <xf numFmtId="0" fontId="18" fillId="0" borderId="0" xfId="0" applyFont="1"/>
    <xf numFmtId="49" fontId="19" fillId="0" borderId="0" xfId="0" applyNumberFormat="1" applyFont="1" applyAlignment="1">
      <alignment horizontal="left"/>
    </xf>
    <xf numFmtId="0" fontId="20" fillId="0" borderId="0" xfId="0" applyFont="1"/>
    <xf numFmtId="0" fontId="0" fillId="0" borderId="0" xfId="0" applyAlignment="1">
      <alignment vertical="top"/>
    </xf>
    <xf numFmtId="3" fontId="0" fillId="33" borderId="10" xfId="0" applyNumberFormat="1" applyFont="1" applyFill="1" applyBorder="1"/>
    <xf numFmtId="3" fontId="0" fillId="36" borderId="0" xfId="0" applyNumberFormat="1" applyFont="1" applyFill="1" applyBorder="1"/>
    <xf numFmtId="49" fontId="16" fillId="34" borderId="1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center" textRotation="90"/>
    </xf>
    <xf numFmtId="49" fontId="16" fillId="0" borderId="0" xfId="0" applyNumberFormat="1" applyFont="1" applyAlignment="1">
      <alignment horizontal="center" textRotation="90"/>
    </xf>
    <xf numFmtId="3" fontId="0" fillId="36" borderId="13" xfId="0" applyNumberFormat="1" applyFont="1" applyFill="1" applyBorder="1"/>
    <xf numFmtId="3" fontId="0" fillId="33" borderId="13" xfId="0" applyNumberFormat="1" applyFont="1" applyFill="1" applyBorder="1"/>
    <xf numFmtId="3" fontId="0" fillId="33" borderId="14" xfId="0" applyNumberFormat="1" applyFont="1" applyFill="1" applyBorder="1"/>
    <xf numFmtId="3" fontId="0" fillId="34" borderId="13" xfId="0" applyNumberFormat="1" applyFont="1" applyFill="1" applyBorder="1"/>
    <xf numFmtId="3" fontId="22" fillId="37" borderId="0" xfId="42" applyNumberFormat="1" applyFont="1" applyFill="1" applyBorder="1" applyAlignment="1" applyProtection="1">
      <alignment horizontal="right"/>
    </xf>
    <xf numFmtId="1" fontId="16" fillId="34" borderId="0" xfId="0" applyNumberFormat="1" applyFont="1" applyFill="1" applyAlignment="1">
      <alignment horizontal="right"/>
    </xf>
    <xf numFmtId="9" fontId="0" fillId="38" borderId="10" xfId="0" applyNumberFormat="1" applyFont="1" applyFill="1" applyBorder="1"/>
    <xf numFmtId="9" fontId="0" fillId="40" borderId="10" xfId="0" applyNumberFormat="1" applyFont="1" applyFill="1" applyBorder="1"/>
    <xf numFmtId="9" fontId="0" fillId="39" borderId="10" xfId="0" applyNumberFormat="1" applyFill="1" applyBorder="1" applyAlignme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/>
    <xf numFmtId="9" fontId="23" fillId="43" borderId="15" xfId="0" applyNumberFormat="1" applyFont="1" applyFill="1" applyBorder="1"/>
    <xf numFmtId="9" fontId="16" fillId="41" borderId="10" xfId="0" applyNumberFormat="1" applyFont="1" applyFill="1" applyBorder="1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49" fontId="13" fillId="42" borderId="11" xfId="0" applyNumberFormat="1" applyFont="1" applyFill="1" applyBorder="1" applyAlignment="1">
      <alignment horizontal="right"/>
    </xf>
    <xf numFmtId="49" fontId="13" fillId="42" borderId="10" xfId="0" applyNumberFormat="1" applyFont="1" applyFill="1" applyBorder="1" applyAlignment="1">
      <alignment horizontal="right"/>
    </xf>
    <xf numFmtId="3" fontId="0" fillId="34" borderId="0" xfId="0" applyNumberFormat="1" applyFont="1" applyFill="1" applyBorder="1"/>
    <xf numFmtId="3" fontId="0" fillId="34" borderId="0" xfId="0" applyNumberFormat="1" applyFill="1"/>
    <xf numFmtId="1" fontId="0" fillId="0" borderId="0" xfId="0" applyNumberFormat="1" applyFont="1"/>
    <xf numFmtId="49" fontId="16" fillId="0" borderId="0" xfId="0" applyNumberFormat="1" applyFont="1"/>
    <xf numFmtId="0" fontId="0" fillId="0" borderId="0" xfId="0" applyAlignment="1">
      <alignment horizontal="right"/>
    </xf>
    <xf numFmtId="49" fontId="0" fillId="0" borderId="0" xfId="0" applyNumberFormat="1" applyFill="1"/>
    <xf numFmtId="49" fontId="16" fillId="35" borderId="0" xfId="0" applyNumberFormat="1" applyFont="1" applyFill="1" applyAlignment="1">
      <alignment horizontal="right"/>
    </xf>
    <xf numFmtId="3" fontId="22" fillId="34" borderId="0" xfId="42" applyNumberFormat="1" applyFont="1" applyFill="1" applyBorder="1" applyAlignment="1" applyProtection="1">
      <alignment horizontal="right"/>
    </xf>
    <xf numFmtId="0" fontId="0" fillId="34" borderId="0" xfId="0" applyNumberFormat="1" applyFill="1"/>
    <xf numFmtId="49" fontId="17" fillId="0" borderId="0" xfId="0" applyNumberFormat="1" applyFont="1" applyFill="1"/>
    <xf numFmtId="0" fontId="0" fillId="34" borderId="0" xfId="0" applyFill="1" applyAlignment="1">
      <alignment horizontal="right"/>
    </xf>
    <xf numFmtId="49" fontId="13" fillId="44" borderId="0" xfId="0" applyNumberFormat="1" applyFont="1" applyFill="1" applyAlignment="1">
      <alignment horizontal="left"/>
    </xf>
    <xf numFmtId="3" fontId="13" fillId="44" borderId="0" xfId="0" applyNumberFormat="1" applyFont="1" applyFill="1"/>
    <xf numFmtId="3" fontId="17" fillId="44" borderId="13" xfId="0" applyNumberFormat="1" applyFont="1" applyFill="1" applyBorder="1"/>
    <xf numFmtId="1" fontId="17" fillId="44" borderId="13" xfId="0" applyNumberFormat="1" applyFont="1" applyFill="1" applyBorder="1"/>
    <xf numFmtId="3" fontId="24" fillId="34" borderId="0" xfId="0" applyNumberFormat="1" applyFont="1" applyFill="1" applyAlignment="1">
      <alignment horizontal="right"/>
    </xf>
    <xf numFmtId="3" fontId="24" fillId="34" borderId="0" xfId="0" applyNumberFormat="1" applyFont="1" applyFill="1"/>
    <xf numFmtId="0" fontId="24" fillId="34" borderId="0" xfId="0" applyNumberFormat="1" applyFont="1" applyFill="1" applyAlignment="1">
      <alignment horizontal="right"/>
    </xf>
    <xf numFmtId="1" fontId="0" fillId="0" borderId="0" xfId="0" applyNumberFormat="1" applyFont="1" applyBorder="1"/>
    <xf numFmtId="0" fontId="0" fillId="0" borderId="0" xfId="0" applyBorder="1"/>
    <xf numFmtId="3" fontId="17" fillId="44" borderId="0" xfId="0" applyNumberFormat="1" applyFont="1" applyFill="1" applyBorder="1"/>
    <xf numFmtId="49" fontId="13" fillId="42" borderId="10" xfId="0" applyNumberFormat="1" applyFont="1" applyFill="1" applyBorder="1" applyAlignment="1">
      <alignment horizontal="right" textRotation="90"/>
    </xf>
    <xf numFmtId="49" fontId="13" fillId="42" borderId="10" xfId="0" applyNumberFormat="1" applyFont="1" applyFill="1" applyBorder="1" applyAlignment="1">
      <alignment horizontal="left"/>
    </xf>
    <xf numFmtId="0" fontId="16" fillId="34" borderId="0" xfId="0" applyFont="1" applyFill="1" applyAlignment="1">
      <alignment horizontal="right"/>
    </xf>
    <xf numFmtId="0" fontId="25" fillId="34" borderId="0" xfId="0" applyNumberFormat="1" applyFont="1" applyFill="1" applyAlignment="1">
      <alignment horizontal="right"/>
    </xf>
    <xf numFmtId="3" fontId="25" fillId="34" borderId="0" xfId="0" applyNumberFormat="1" applyFont="1" applyFill="1" applyAlignment="1">
      <alignment horizontal="right"/>
    </xf>
    <xf numFmtId="1" fontId="0" fillId="0" borderId="0" xfId="0" applyNumberFormat="1" applyBorder="1"/>
    <xf numFmtId="3" fontId="16" fillId="34" borderId="0" xfId="0" applyNumberFormat="1" applyFont="1" applyFill="1" applyAlignment="1">
      <alignment horizontal="right"/>
    </xf>
    <xf numFmtId="3" fontId="0" fillId="33" borderId="12" xfId="0" applyNumberFormat="1" applyFill="1" applyBorder="1" applyAlignment="1">
      <alignment horizontal="right"/>
    </xf>
    <xf numFmtId="49" fontId="13" fillId="42" borderId="16" xfId="0" applyNumberFormat="1" applyFont="1" applyFill="1" applyBorder="1" applyAlignment="1">
      <alignment horizontal="right"/>
    </xf>
    <xf numFmtId="9" fontId="16" fillId="45" borderId="0" xfId="0" applyNumberFormat="1" applyFont="1" applyFill="1" applyBorder="1"/>
    <xf numFmtId="3" fontId="0" fillId="33" borderId="13" xfId="0" applyNumberFormat="1" applyFill="1" applyBorder="1" applyAlignment="1">
      <alignment horizontal="right"/>
    </xf>
    <xf numFmtId="3" fontId="17" fillId="0" borderId="0" xfId="0" applyNumberFormat="1" applyFont="1" applyFill="1" applyAlignment="1">
      <alignment horizontal="right"/>
    </xf>
    <xf numFmtId="3" fontId="13" fillId="44" borderId="0" xfId="0" applyNumberFormat="1" applyFont="1" applyFill="1" applyAlignment="1">
      <alignment horizontal="left"/>
    </xf>
    <xf numFmtId="3" fontId="16" fillId="34" borderId="0" xfId="0" applyNumberFormat="1" applyFont="1" applyFill="1" applyAlignment="1">
      <alignment horizontal="left"/>
    </xf>
    <xf numFmtId="3" fontId="0" fillId="0" borderId="0" xfId="0" applyNumberFormat="1" applyFill="1" applyAlignment="1">
      <alignment horizontal="right"/>
    </xf>
    <xf numFmtId="3" fontId="0" fillId="46" borderId="0" xfId="0" applyNumberFormat="1" applyFill="1"/>
    <xf numFmtId="3" fontId="24" fillId="46" borderId="0" xfId="0" applyNumberFormat="1" applyFont="1" applyFill="1"/>
    <xf numFmtId="3" fontId="0" fillId="0" borderId="0" xfId="0" applyNumberFormat="1"/>
    <xf numFmtId="3" fontId="0" fillId="0" borderId="17" xfId="0" applyNumberFormat="1" applyBorder="1"/>
    <xf numFmtId="3" fontId="0" fillId="0" borderId="18" xfId="0" applyNumberFormat="1" applyBorder="1"/>
    <xf numFmtId="3" fontId="0" fillId="0" borderId="17" xfId="0" applyNumberFormat="1" applyFont="1" applyBorder="1"/>
    <xf numFmtId="3" fontId="0" fillId="0" borderId="17" xfId="0" applyNumberFormat="1" applyFont="1" applyBorder="1" applyAlignment="1">
      <alignment horizontal="right"/>
    </xf>
    <xf numFmtId="3" fontId="0" fillId="0" borderId="0" xfId="0" applyNumberFormat="1" applyAlignment="1">
      <alignment horizontal="right"/>
    </xf>
    <xf numFmtId="3" fontId="0" fillId="0" borderId="17" xfId="0" applyNumberFormat="1" applyBorder="1" applyAlignment="1">
      <alignment horizontal="righ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9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2" tint="-9.9978637043366805E-2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9" defaultPivotStyle="PivotStyleLight16"/>
  <colors>
    <mruColors>
      <color rgb="FFF8696B"/>
      <color rgb="FF63BE7B"/>
      <color rgb="FF92CC7E"/>
      <color rgb="FFFFEB84"/>
      <color rgb="FFE0E383"/>
      <color rgb="FFFDD17F"/>
      <color rgb="FFFA9072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CUD Single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3"/>
          <c:order val="0"/>
          <c:tx>
            <c:strRef>
              <c:f>'1000'!$A$44</c:f>
              <c:strCache>
                <c:ptCount val="1"/>
                <c:pt idx="0">
                  <c:v>    CUD Average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'1000'!$E$44:$L$44</c:f>
              <c:numCache>
                <c:formatCode>#,##0</c:formatCode>
                <c:ptCount val="8"/>
                <c:pt idx="0">
                  <c:v>4113</c:v>
                </c:pt>
                <c:pt idx="1">
                  <c:v>2218</c:v>
                </c:pt>
                <c:pt idx="2">
                  <c:v>9790</c:v>
                </c:pt>
                <c:pt idx="3">
                  <c:v>7925</c:v>
                </c:pt>
                <c:pt idx="4">
                  <c:v>9837</c:v>
                </c:pt>
                <c:pt idx="5">
                  <c:v>1145</c:v>
                </c:pt>
                <c:pt idx="6">
                  <c:v>8904</c:v>
                </c:pt>
                <c:pt idx="7">
                  <c:v>3534</c:v>
                </c:pt>
              </c:numCache>
            </c:numRef>
          </c:val>
        </c:ser>
        <c:ser>
          <c:idx val="2"/>
          <c:order val="1"/>
          <c:tx>
            <c:strRef>
              <c:f>'1000'!$A$43</c:f>
              <c:strCache>
                <c:ptCount val="1"/>
                <c:pt idx="0">
                  <c:v>    Remove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'1000'!$E$43:$L$43</c:f>
              <c:numCache>
                <c:formatCode>#,##0</c:formatCode>
                <c:ptCount val="8"/>
                <c:pt idx="0">
                  <c:v>4497</c:v>
                </c:pt>
                <c:pt idx="1">
                  <c:v>1954</c:v>
                </c:pt>
                <c:pt idx="2">
                  <c:v>11012</c:v>
                </c:pt>
                <c:pt idx="3">
                  <c:v>8989</c:v>
                </c:pt>
                <c:pt idx="4">
                  <c:v>11208</c:v>
                </c:pt>
                <c:pt idx="5">
                  <c:v>1142</c:v>
                </c:pt>
                <c:pt idx="6">
                  <c:v>9721</c:v>
                </c:pt>
                <c:pt idx="7">
                  <c:v>3985</c:v>
                </c:pt>
              </c:numCache>
            </c:numRef>
          </c:val>
        </c:ser>
        <c:ser>
          <c:idx val="1"/>
          <c:order val="2"/>
          <c:tx>
            <c:strRef>
              <c:f>'1000'!$A$42</c:f>
              <c:strCache>
                <c:ptCount val="1"/>
                <c:pt idx="0">
                  <c:v>    Update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'1000'!$E$42:$L$42</c:f>
              <c:numCache>
                <c:formatCode>#,##0</c:formatCode>
                <c:ptCount val="8"/>
                <c:pt idx="0">
                  <c:v>4072</c:v>
                </c:pt>
                <c:pt idx="1">
                  <c:v>1738</c:v>
                </c:pt>
                <c:pt idx="2">
                  <c:v>10556</c:v>
                </c:pt>
                <c:pt idx="3">
                  <c:v>8602</c:v>
                </c:pt>
                <c:pt idx="4">
                  <c:v>10411</c:v>
                </c:pt>
                <c:pt idx="5">
                  <c:v>683</c:v>
                </c:pt>
                <c:pt idx="6">
                  <c:v>8526</c:v>
                </c:pt>
                <c:pt idx="7">
                  <c:v>3926</c:v>
                </c:pt>
              </c:numCache>
            </c:numRef>
          </c:val>
        </c:ser>
        <c:ser>
          <c:idx val="0"/>
          <c:order val="3"/>
          <c:tx>
            <c:strRef>
              <c:f>'1000'!$A$41</c:f>
              <c:strCache>
                <c:ptCount val="1"/>
                <c:pt idx="0">
                  <c:v>    Create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'1000'!$E$41:$L$41</c:f>
              <c:numCache>
                <c:formatCode>#,##0</c:formatCode>
                <c:ptCount val="8"/>
                <c:pt idx="0">
                  <c:v>4002</c:v>
                </c:pt>
                <c:pt idx="1">
                  <c:v>3814</c:v>
                </c:pt>
                <c:pt idx="2">
                  <c:v>8282</c:v>
                </c:pt>
                <c:pt idx="3">
                  <c:v>6694</c:v>
                </c:pt>
                <c:pt idx="4">
                  <c:v>8411</c:v>
                </c:pt>
                <c:pt idx="5">
                  <c:v>3585</c:v>
                </c:pt>
                <c:pt idx="6">
                  <c:v>8801</c:v>
                </c:pt>
                <c:pt idx="7">
                  <c:v>3021</c:v>
                </c:pt>
              </c:numCache>
            </c:numRef>
          </c:val>
        </c:ser>
        <c:gapWidth val="75"/>
        <c:overlap val="-25"/>
        <c:axId val="128754048"/>
        <c:axId val="128755584"/>
      </c:barChart>
      <c:catAx>
        <c:axId val="128754048"/>
        <c:scaling>
          <c:orientation val="minMax"/>
        </c:scaling>
        <c:axPos val="l"/>
        <c:majorTickMark val="none"/>
        <c:tickLblPos val="nextTo"/>
        <c:crossAx val="128755584"/>
        <c:crosses val="autoZero"/>
        <c:auto val="1"/>
        <c:lblAlgn val="ctr"/>
        <c:lblOffset val="100"/>
      </c:catAx>
      <c:valAx>
        <c:axId val="128755584"/>
        <c:scaling>
          <c:orientation val="minMax"/>
          <c:min val="0"/>
        </c:scaling>
        <c:axPos val="b"/>
        <c:majorGridlines/>
        <c:numFmt formatCode="#,##0" sourceLinked="1"/>
        <c:majorTickMark val="none"/>
        <c:tickLblPos val="nextTo"/>
        <c:crossAx val="128754048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Materialization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'1000'!$A$63</c:f>
              <c:strCache>
                <c:ptCount val="1"/>
                <c:pt idx="0">
                  <c:v>    Native Materialize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'1000'!$E$63:$L$63</c:f>
              <c:numCache>
                <c:formatCode>#,##0</c:formatCode>
                <c:ptCount val="8"/>
                <c:pt idx="0">
                  <c:v>205300</c:v>
                </c:pt>
                <c:pt idx="1">
                  <c:v>0</c:v>
                </c:pt>
                <c:pt idx="2">
                  <c:v>868960</c:v>
                </c:pt>
                <c:pt idx="3">
                  <c:v>278226</c:v>
                </c:pt>
                <c:pt idx="4">
                  <c:v>0</c:v>
                </c:pt>
                <c:pt idx="5">
                  <c:v>49050</c:v>
                </c:pt>
                <c:pt idx="6">
                  <c:v>355960</c:v>
                </c:pt>
                <c:pt idx="7">
                  <c:v>123517</c:v>
                </c:pt>
              </c:numCache>
            </c:numRef>
          </c:val>
        </c:ser>
        <c:ser>
          <c:idx val="1"/>
          <c:order val="1"/>
          <c:tx>
            <c:strRef>
              <c:f>'1000'!$A$62</c:f>
              <c:strCache>
                <c:ptCount val="1"/>
                <c:pt idx="0">
                  <c:v>    LINQ Materialize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'1000'!$E$62:$L$62</c:f>
              <c:numCache>
                <c:formatCode>#,##0</c:formatCode>
                <c:ptCount val="8"/>
                <c:pt idx="0">
                  <c:v>127751</c:v>
                </c:pt>
                <c:pt idx="1">
                  <c:v>464403</c:v>
                </c:pt>
                <c:pt idx="2">
                  <c:v>561135</c:v>
                </c:pt>
                <c:pt idx="3">
                  <c:v>225093</c:v>
                </c:pt>
                <c:pt idx="4">
                  <c:v>237490</c:v>
                </c:pt>
                <c:pt idx="5">
                  <c:v>37059</c:v>
                </c:pt>
                <c:pt idx="6">
                  <c:v>275186</c:v>
                </c:pt>
                <c:pt idx="7">
                  <c:v>79156</c:v>
                </c:pt>
              </c:numCache>
            </c:numRef>
          </c:val>
        </c:ser>
        <c:gapWidth val="75"/>
        <c:overlap val="-25"/>
        <c:axId val="128653952"/>
        <c:axId val="128663936"/>
      </c:barChart>
      <c:catAx>
        <c:axId val="128653952"/>
        <c:scaling>
          <c:orientation val="minMax"/>
        </c:scaling>
        <c:axPos val="l"/>
        <c:majorTickMark val="none"/>
        <c:tickLblPos val="nextTo"/>
        <c:crossAx val="128663936"/>
        <c:crosses val="autoZero"/>
        <c:auto val="1"/>
        <c:lblAlgn val="ctr"/>
        <c:lblOffset val="100"/>
      </c:catAx>
      <c:valAx>
        <c:axId val="128663936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28653952"/>
        <c:crosses val="autoZero"/>
        <c:crossBetween val="between"/>
        <c:majorUnit val="150000"/>
      </c:valAx>
    </c:plotArea>
    <c:legend>
      <c:legendPos val="b"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Queries</a:t>
            </a:r>
            <a:br>
              <a:rPr lang="en-US"/>
            </a:br>
            <a:r>
              <a:rPr lang="en-US" sz="1400" b="0"/>
              <a:t># of queries per second</a:t>
            </a:r>
          </a:p>
        </c:rich>
      </c:tx>
    </c:title>
    <c:plotArea>
      <c:layout/>
      <c:barChart>
        <c:barDir val="bar"/>
        <c:grouping val="clustered"/>
        <c:ser>
          <c:idx val="2"/>
          <c:order val="0"/>
          <c:tx>
            <c:strRef>
              <c:f>'1000'!$A$55</c:f>
              <c:strCache>
                <c:ptCount val="1"/>
                <c:pt idx="0">
                  <c:v>    Native Query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'1000'!$E$55:$L$55</c:f>
              <c:numCache>
                <c:formatCode>#,##0</c:formatCode>
                <c:ptCount val="8"/>
                <c:pt idx="0">
                  <c:v>8783</c:v>
                </c:pt>
                <c:pt idx="1">
                  <c:v>0</c:v>
                </c:pt>
                <c:pt idx="2">
                  <c:v>15307</c:v>
                </c:pt>
                <c:pt idx="3">
                  <c:v>10889</c:v>
                </c:pt>
                <c:pt idx="4">
                  <c:v>0</c:v>
                </c:pt>
                <c:pt idx="5">
                  <c:v>3955</c:v>
                </c:pt>
                <c:pt idx="6">
                  <c:v>6201</c:v>
                </c:pt>
                <c:pt idx="7">
                  <c:v>7695</c:v>
                </c:pt>
              </c:numCache>
            </c:numRef>
          </c:val>
        </c:ser>
        <c:ser>
          <c:idx val="0"/>
          <c:order val="1"/>
          <c:tx>
            <c:strRef>
              <c:f>'1000'!$A$53</c:f>
              <c:strCache>
                <c:ptCount val="1"/>
                <c:pt idx="0">
                  <c:v>    LINQ Query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'1000'!$E$53:$L$53</c:f>
              <c:numCache>
                <c:formatCode>#,##0</c:formatCode>
                <c:ptCount val="8"/>
                <c:pt idx="0">
                  <c:v>564</c:v>
                </c:pt>
                <c:pt idx="1">
                  <c:v>754</c:v>
                </c:pt>
                <c:pt idx="2">
                  <c:v>7619</c:v>
                </c:pt>
                <c:pt idx="3">
                  <c:v>1461</c:v>
                </c:pt>
                <c:pt idx="4">
                  <c:v>2961</c:v>
                </c:pt>
                <c:pt idx="5">
                  <c:v>1015</c:v>
                </c:pt>
                <c:pt idx="6">
                  <c:v>3251</c:v>
                </c:pt>
                <c:pt idx="7">
                  <c:v>232</c:v>
                </c:pt>
              </c:numCache>
            </c:numRef>
          </c:val>
        </c:ser>
        <c:ser>
          <c:idx val="1"/>
          <c:order val="2"/>
          <c:tx>
            <c:strRef>
              <c:f>'1000'!$A$54</c:f>
              <c:strCache>
                <c:ptCount val="1"/>
                <c:pt idx="0">
                  <c:v>    Compiled LINQ Query</c:v>
                </c:pt>
              </c:strCache>
            </c:strRef>
          </c:tx>
          <c:val>
            <c:numRef>
              <c:f>'1000'!$E$54:$L$54</c:f>
              <c:numCache>
                <c:formatCode>#,##0</c:formatCode>
                <c:ptCount val="8"/>
                <c:pt idx="0">
                  <c:v>6471</c:v>
                </c:pt>
                <c:pt idx="1">
                  <c:v>9474</c:v>
                </c:pt>
                <c:pt idx="2">
                  <c:v>12563</c:v>
                </c:pt>
                <c:pt idx="3">
                  <c:v>9046</c:v>
                </c:pt>
                <c:pt idx="4">
                  <c:v>9697</c:v>
                </c:pt>
                <c:pt idx="5">
                  <c:v>0</c:v>
                </c:pt>
                <c:pt idx="6">
                  <c:v>3407</c:v>
                </c:pt>
                <c:pt idx="7">
                  <c:v>0</c:v>
                </c:pt>
              </c:numCache>
            </c:numRef>
          </c:val>
        </c:ser>
        <c:gapWidth val="75"/>
        <c:overlap val="-25"/>
        <c:axId val="128706048"/>
        <c:axId val="128707584"/>
      </c:barChart>
      <c:catAx>
        <c:axId val="128706048"/>
        <c:scaling>
          <c:orientation val="minMax"/>
        </c:scaling>
        <c:axPos val="l"/>
        <c:majorTickMark val="none"/>
        <c:tickLblPos val="nextTo"/>
        <c:crossAx val="128707584"/>
        <c:crosses val="autoZero"/>
        <c:auto val="1"/>
        <c:lblAlgn val="ctr"/>
        <c:lblOffset val="100"/>
      </c:catAx>
      <c:valAx>
        <c:axId val="128707584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28706048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Fetch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'1000'!$A$39</c:f>
              <c:strCache>
                <c:ptCount val="1"/>
                <c:pt idx="0">
                  <c:v>  Fetch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'1000'!$E$39:$L$39</c:f>
              <c:numCache>
                <c:formatCode>#,##0</c:formatCode>
                <c:ptCount val="8"/>
                <c:pt idx="0">
                  <c:v>5316</c:v>
                </c:pt>
                <c:pt idx="1">
                  <c:v>7566</c:v>
                </c:pt>
                <c:pt idx="2">
                  <c:v>11738</c:v>
                </c:pt>
                <c:pt idx="3">
                  <c:v>8167</c:v>
                </c:pt>
                <c:pt idx="4">
                  <c:v>11992</c:v>
                </c:pt>
                <c:pt idx="5">
                  <c:v>6088</c:v>
                </c:pt>
                <c:pt idx="6">
                  <c:v>5484</c:v>
                </c:pt>
                <c:pt idx="7">
                  <c:v>8424</c:v>
                </c:pt>
              </c:numCache>
            </c:numRef>
          </c:val>
        </c:ser>
        <c:gapWidth val="75"/>
        <c:overlap val="-25"/>
        <c:axId val="128912768"/>
        <c:axId val="128942464"/>
      </c:barChart>
      <c:catAx>
        <c:axId val="128912768"/>
        <c:scaling>
          <c:orientation val="minMax"/>
        </c:scaling>
        <c:axPos val="l"/>
        <c:majorTickMark val="none"/>
        <c:tickLblPos val="nextTo"/>
        <c:crossAx val="128942464"/>
        <c:crosses val="autoZero"/>
        <c:auto val="1"/>
        <c:lblAlgn val="ctr"/>
        <c:lblOffset val="100"/>
      </c:catAx>
      <c:valAx>
        <c:axId val="128942464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28912768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LINQ implementation score</a:t>
            </a:r>
            <a:br>
              <a:rPr lang="en-US"/>
            </a:br>
            <a:r>
              <a:rPr lang="en-US" sz="1400" b="0"/>
              <a:t># of passing tests out of 100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'1000'!$A$27</c:f>
              <c:strCache>
                <c:ptCount val="1"/>
                <c:pt idx="0">
                  <c:v>  Score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'1000'!$E$27:$L$27</c:f>
              <c:numCache>
                <c:formatCode>General</c:formatCode>
                <c:ptCount val="8"/>
                <c:pt idx="0">
                  <c:v>79.3</c:v>
                </c:pt>
                <c:pt idx="1">
                  <c:v>89.3</c:v>
                </c:pt>
                <c:pt idx="2">
                  <c:v>84.3</c:v>
                </c:pt>
                <c:pt idx="3">
                  <c:v>98.3</c:v>
                </c:pt>
                <c:pt idx="4">
                  <c:v>87.6</c:v>
                </c:pt>
                <c:pt idx="5">
                  <c:v>28.9</c:v>
                </c:pt>
                <c:pt idx="6">
                  <c:v>77.7</c:v>
                </c:pt>
                <c:pt idx="7" formatCode="#,##0">
                  <c:v>0</c:v>
                </c:pt>
              </c:numCache>
            </c:numRef>
          </c:val>
        </c:ser>
        <c:gapWidth val="75"/>
        <c:overlap val="-25"/>
        <c:axId val="128966656"/>
        <c:axId val="128968192"/>
      </c:barChart>
      <c:catAx>
        <c:axId val="128966656"/>
        <c:scaling>
          <c:orientation val="minMax"/>
        </c:scaling>
        <c:axPos val="l"/>
        <c:majorTickMark val="none"/>
        <c:tickLblPos val="nextTo"/>
        <c:crossAx val="128968192"/>
        <c:crosses val="autoZero"/>
        <c:auto val="1"/>
        <c:lblAlgn val="ctr"/>
        <c:lblOffset val="100"/>
      </c:catAx>
      <c:valAx>
        <c:axId val="128968192"/>
        <c:scaling>
          <c:orientation val="minMax"/>
          <c:max val="100"/>
          <c:min val="0"/>
        </c:scaling>
        <c:axPos val="b"/>
        <c:majorGridlines/>
        <c:numFmt formatCode="General" sourceLinked="1"/>
        <c:majorTickMark val="none"/>
        <c:tickLblPos val="nextTo"/>
        <c:crossAx val="128966656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Paging</a:t>
            </a:r>
            <a:br>
              <a:rPr lang="en-US"/>
            </a:br>
            <a:r>
              <a:rPr lang="en-US" sz="1400" b="0" i="0" u="none" strike="noStrike" baseline="0"/>
              <a:t># of pages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3"/>
          <c:order val="0"/>
          <c:tx>
            <c:strRef>
              <c:f>'1000'!$A$60</c:f>
              <c:strCache>
                <c:ptCount val="1"/>
                <c:pt idx="0">
                  <c:v>    Get Huge Page    (100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'1000'!$E$60:$L$60</c:f>
              <c:numCache>
                <c:formatCode>#,##0</c:formatCode>
                <c:ptCount val="8"/>
                <c:pt idx="0">
                  <c:v>1474</c:v>
                </c:pt>
                <c:pt idx="1">
                  <c:v>4116</c:v>
                </c:pt>
                <c:pt idx="2">
                  <c:v>4606</c:v>
                </c:pt>
                <c:pt idx="3">
                  <c:v>2030</c:v>
                </c:pt>
                <c:pt idx="4">
                  <c:v>2079</c:v>
                </c:pt>
                <c:pt idx="5">
                  <c:v>322</c:v>
                </c:pt>
                <c:pt idx="6">
                  <c:v>1691</c:v>
                </c:pt>
                <c:pt idx="7">
                  <c:v>190</c:v>
                </c:pt>
              </c:numCache>
            </c:numRef>
          </c:val>
        </c:ser>
        <c:ser>
          <c:idx val="2"/>
          <c:order val="1"/>
          <c:tx>
            <c:strRef>
              <c:f>'1000'!$A$59</c:f>
              <c:strCache>
                <c:ptCount val="1"/>
                <c:pt idx="0">
                  <c:v>    Get Large Page   (50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'1000'!$E$59:$L$59</c:f>
              <c:numCache>
                <c:formatCode>#,##0</c:formatCode>
                <c:ptCount val="8"/>
                <c:pt idx="0">
                  <c:v>2370</c:v>
                </c:pt>
                <c:pt idx="1">
                  <c:v>5514</c:v>
                </c:pt>
                <c:pt idx="2">
                  <c:v>6632</c:v>
                </c:pt>
                <c:pt idx="3">
                  <c:v>3343</c:v>
                </c:pt>
                <c:pt idx="4">
                  <c:v>3387</c:v>
                </c:pt>
                <c:pt idx="5">
                  <c:v>494</c:v>
                </c:pt>
                <c:pt idx="6">
                  <c:v>2271</c:v>
                </c:pt>
                <c:pt idx="7">
                  <c:v>191</c:v>
                </c:pt>
              </c:numCache>
            </c:numRef>
          </c:val>
        </c:ser>
        <c:ser>
          <c:idx val="1"/>
          <c:order val="2"/>
          <c:tx>
            <c:strRef>
              <c:f>'1000'!$A$58</c:f>
              <c:strCache>
                <c:ptCount val="1"/>
                <c:pt idx="0">
                  <c:v>    Get Average Page (20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'1000'!$E$58:$L$58</c:f>
              <c:numCache>
                <c:formatCode>#,##0</c:formatCode>
                <c:ptCount val="8"/>
                <c:pt idx="0">
                  <c:v>3683</c:v>
                </c:pt>
                <c:pt idx="1">
                  <c:v>7072</c:v>
                </c:pt>
                <c:pt idx="2">
                  <c:v>9270</c:v>
                </c:pt>
                <c:pt idx="3">
                  <c:v>5410</c:v>
                </c:pt>
                <c:pt idx="4">
                  <c:v>5635</c:v>
                </c:pt>
                <c:pt idx="5">
                  <c:v>634</c:v>
                </c:pt>
                <c:pt idx="6">
                  <c:v>2816</c:v>
                </c:pt>
                <c:pt idx="7">
                  <c:v>213</c:v>
                </c:pt>
              </c:numCache>
            </c:numRef>
          </c:val>
        </c:ser>
        <c:ser>
          <c:idx val="0"/>
          <c:order val="3"/>
          <c:tx>
            <c:strRef>
              <c:f>'1000'!$A$57</c:f>
              <c:strCache>
                <c:ptCount val="1"/>
                <c:pt idx="0">
                  <c:v>    Get Small Page   (10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'1000'!$E$57:$L$57</c:f>
              <c:numCache>
                <c:formatCode>#,##0</c:formatCode>
                <c:ptCount val="8"/>
                <c:pt idx="0">
                  <c:v>4540</c:v>
                </c:pt>
                <c:pt idx="1">
                  <c:v>7800</c:v>
                </c:pt>
                <c:pt idx="2">
                  <c:v>10628</c:v>
                </c:pt>
                <c:pt idx="3">
                  <c:v>6883</c:v>
                </c:pt>
                <c:pt idx="4">
                  <c:v>7109</c:v>
                </c:pt>
                <c:pt idx="5">
                  <c:v>711</c:v>
                </c:pt>
                <c:pt idx="6">
                  <c:v>3074</c:v>
                </c:pt>
                <c:pt idx="7">
                  <c:v>222</c:v>
                </c:pt>
              </c:numCache>
            </c:numRef>
          </c:val>
        </c:ser>
        <c:gapWidth val="75"/>
        <c:overlap val="-25"/>
        <c:axId val="129073920"/>
        <c:axId val="129075456"/>
      </c:barChart>
      <c:catAx>
        <c:axId val="129073920"/>
        <c:scaling>
          <c:orientation val="minMax"/>
        </c:scaling>
        <c:axPos val="l"/>
        <c:majorTickMark val="none"/>
        <c:tickLblPos val="nextTo"/>
        <c:crossAx val="129075456"/>
        <c:crosses val="autoZero"/>
        <c:auto val="1"/>
        <c:lblAlgn val="ctr"/>
        <c:lblOffset val="100"/>
      </c:catAx>
      <c:valAx>
        <c:axId val="129075456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29073920"/>
        <c:crosses val="autoZero"/>
        <c:crossBetween val="between"/>
      </c:valAx>
    </c:plotArea>
    <c:legend>
      <c:legendPos val="b"/>
      <c:txPr>
        <a:bodyPr/>
        <a:lstStyle/>
        <a:p>
          <a:pPr>
            <a:defRPr sz="800" baseline="0"/>
          </a:pPr>
          <a:endParaRPr lang="ru-RU"/>
        </a:p>
      </c:txPr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CUD Multiple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3"/>
          <c:order val="0"/>
          <c:tx>
            <c:strRef>
              <c:f>'1000'!$A$49</c:f>
              <c:strCache>
                <c:ptCount val="1"/>
                <c:pt idx="0">
                  <c:v>    CUD Average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'1000'!$E$49:$L$49</c:f>
              <c:numCache>
                <c:formatCode>#,##0</c:formatCode>
                <c:ptCount val="8"/>
                <c:pt idx="0">
                  <c:v>6311</c:v>
                </c:pt>
                <c:pt idx="1">
                  <c:v>2693</c:v>
                </c:pt>
                <c:pt idx="2">
                  <c:v>43980</c:v>
                </c:pt>
                <c:pt idx="3">
                  <c:v>19278</c:v>
                </c:pt>
                <c:pt idx="4">
                  <c:v>19755</c:v>
                </c:pt>
                <c:pt idx="5">
                  <c:v>14993</c:v>
                </c:pt>
                <c:pt idx="6">
                  <c:v>15887</c:v>
                </c:pt>
                <c:pt idx="7">
                  <c:v>3724</c:v>
                </c:pt>
              </c:numCache>
            </c:numRef>
          </c:val>
        </c:ser>
        <c:ser>
          <c:idx val="2"/>
          <c:order val="1"/>
          <c:tx>
            <c:strRef>
              <c:f>'1000'!$A$48</c:f>
              <c:strCache>
                <c:ptCount val="1"/>
                <c:pt idx="0">
                  <c:v>    Remove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'1000'!$E$48:$L$48</c:f>
              <c:numCache>
                <c:formatCode>#,##0</c:formatCode>
                <c:ptCount val="8"/>
                <c:pt idx="0">
                  <c:v>7485</c:v>
                </c:pt>
                <c:pt idx="1">
                  <c:v>2252</c:v>
                </c:pt>
                <c:pt idx="2">
                  <c:v>60357</c:v>
                </c:pt>
                <c:pt idx="3">
                  <c:v>25634</c:v>
                </c:pt>
                <c:pt idx="4">
                  <c:v>27326</c:v>
                </c:pt>
                <c:pt idx="5">
                  <c:v>14347</c:v>
                </c:pt>
                <c:pt idx="6">
                  <c:v>24594</c:v>
                </c:pt>
                <c:pt idx="7">
                  <c:v>4019</c:v>
                </c:pt>
              </c:numCache>
            </c:numRef>
          </c:val>
        </c:ser>
        <c:ser>
          <c:idx val="1"/>
          <c:order val="2"/>
          <c:tx>
            <c:strRef>
              <c:f>'1000'!$A$47</c:f>
              <c:strCache>
                <c:ptCount val="1"/>
                <c:pt idx="0">
                  <c:v>    Update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'1000'!$E$47:$L$47</c:f>
              <c:numCache>
                <c:formatCode>#,##0</c:formatCode>
                <c:ptCount val="8"/>
                <c:pt idx="0">
                  <c:v>6592</c:v>
                </c:pt>
                <c:pt idx="1">
                  <c:v>2113</c:v>
                </c:pt>
                <c:pt idx="2">
                  <c:v>38803</c:v>
                </c:pt>
                <c:pt idx="3">
                  <c:v>24607</c:v>
                </c:pt>
                <c:pt idx="4">
                  <c:v>21991</c:v>
                </c:pt>
                <c:pt idx="5">
                  <c:v>13631</c:v>
                </c:pt>
                <c:pt idx="6">
                  <c:v>13563</c:v>
                </c:pt>
                <c:pt idx="7">
                  <c:v>3774</c:v>
                </c:pt>
              </c:numCache>
            </c:numRef>
          </c:val>
        </c:ser>
        <c:ser>
          <c:idx val="0"/>
          <c:order val="3"/>
          <c:tx>
            <c:strRef>
              <c:f>'1000'!$A$46</c:f>
              <c:strCache>
                <c:ptCount val="1"/>
                <c:pt idx="0">
                  <c:v>    Create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'1000'!$E$46:$L$46</c:f>
              <c:numCache>
                <c:formatCode>#,##0</c:formatCode>
                <c:ptCount val="8"/>
                <c:pt idx="0">
                  <c:v>5329</c:v>
                </c:pt>
                <c:pt idx="1">
                  <c:v>5200</c:v>
                </c:pt>
                <c:pt idx="2">
                  <c:v>40177</c:v>
                </c:pt>
                <c:pt idx="3">
                  <c:v>13687</c:v>
                </c:pt>
                <c:pt idx="4">
                  <c:v>14424</c:v>
                </c:pt>
                <c:pt idx="5">
                  <c:v>18663</c:v>
                </c:pt>
                <c:pt idx="6">
                  <c:v>14060</c:v>
                </c:pt>
                <c:pt idx="7">
                  <c:v>3464</c:v>
                </c:pt>
              </c:numCache>
            </c:numRef>
          </c:val>
        </c:ser>
        <c:gapWidth val="75"/>
        <c:overlap val="-25"/>
        <c:axId val="129088896"/>
        <c:axId val="133584000"/>
      </c:barChart>
      <c:catAx>
        <c:axId val="129088896"/>
        <c:scaling>
          <c:orientation val="minMax"/>
        </c:scaling>
        <c:axPos val="l"/>
        <c:majorTickMark val="none"/>
        <c:tickLblPos val="nextTo"/>
        <c:crossAx val="133584000"/>
        <c:crosses val="autoZero"/>
        <c:auto val="1"/>
        <c:lblAlgn val="ctr"/>
        <c:lblOffset val="100"/>
      </c:catAx>
      <c:valAx>
        <c:axId val="133584000"/>
        <c:scaling>
          <c:orientation val="minMax"/>
          <c:min val="0"/>
        </c:scaling>
        <c:axPos val="b"/>
        <c:majorGridlines/>
        <c:numFmt formatCode="#,##0" sourceLinked="1"/>
        <c:majorTickMark val="none"/>
        <c:tickLblPos val="nextTo"/>
        <c:crossAx val="129088896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23130</xdr:colOff>
      <xdr:row>134</xdr:row>
      <xdr:rowOff>0</xdr:rowOff>
    </xdr:from>
    <xdr:to>
      <xdr:col>12</xdr:col>
      <xdr:colOff>636930</xdr:colOff>
      <xdr:row>152</xdr:row>
      <xdr:rowOff>167651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114</xdr:row>
      <xdr:rowOff>3183</xdr:rowOff>
    </xdr:from>
    <xdr:to>
      <xdr:col>5</xdr:col>
      <xdr:colOff>547125</xdr:colOff>
      <xdr:row>132</xdr:row>
      <xdr:rowOff>175981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93</xdr:row>
      <xdr:rowOff>186880</xdr:rowOff>
    </xdr:from>
    <xdr:to>
      <xdr:col>5</xdr:col>
      <xdr:colOff>547125</xdr:colOff>
      <xdr:row>112</xdr:row>
      <xdr:rowOff>169178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23130</xdr:colOff>
      <xdr:row>114</xdr:row>
      <xdr:rowOff>924</xdr:rowOff>
    </xdr:from>
    <xdr:to>
      <xdr:col>12</xdr:col>
      <xdr:colOff>636930</xdr:colOff>
      <xdr:row>132</xdr:row>
      <xdr:rowOff>173722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5</xdr:col>
      <xdr:colOff>547125</xdr:colOff>
      <xdr:row>93</xdr:row>
      <xdr:rowOff>91156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23130</xdr:colOff>
      <xdr:row>94</xdr:row>
      <xdr:rowOff>2040</xdr:rowOff>
    </xdr:from>
    <xdr:to>
      <xdr:col>12</xdr:col>
      <xdr:colOff>636930</xdr:colOff>
      <xdr:row>112</xdr:row>
      <xdr:rowOff>173040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134</xdr:row>
      <xdr:rowOff>0</xdr:rowOff>
    </xdr:from>
    <xdr:to>
      <xdr:col>5</xdr:col>
      <xdr:colOff>547125</xdr:colOff>
      <xdr:row>152</xdr:row>
      <xdr:rowOff>170594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4:M74" totalsRowShown="0" headerRowDxfId="88">
  <autoFilter ref="A4:M74">
    <filterColumn colId="1"/>
    <filterColumn colId="2"/>
    <filterColumn colId="3"/>
    <filterColumn colId="4"/>
    <filterColumn colId="5"/>
    <filterColumn colId="7"/>
    <filterColumn colId="11"/>
  </autoFilter>
  <tableColumns count="13">
    <tableColumn id="1" name="Test name" dataDxfId="87"/>
    <tableColumn id="14" name="Minimum" dataDxfId="86"/>
    <tableColumn id="13" name="Maximum" dataDxfId="85"/>
    <tableColumn id="10" name="SqlClient" dataDxfId="84"/>
    <tableColumn id="3" name="Entity Framework" dataDxfId="83"/>
    <tableColumn id="9" name="LINQ to SQL" dataDxfId="82"/>
    <tableColumn id="2" name="BLToolkit" dataDxfId="81"/>
    <tableColumn id="15" name="DataObjects.Net" dataDxfId="80"/>
    <tableColumn id="4" name="LinqConnect" dataDxfId="79"/>
    <tableColumn id="6" name="NHibernate" dataDxfId="78"/>
    <tableColumn id="7" name="OpenAccess" dataDxfId="77"/>
    <tableColumn id="11" name="Subsonic"/>
    <tableColumn id="8" name="Unit" dataDxfId="76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rmbattle.net/index.php/performance-tests.html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13"/>
  <sheetViews>
    <sheetView tabSelected="1" topLeftCell="A35" zoomScale="115" zoomScaleNormal="115" workbookViewId="0">
      <selection activeCell="I57" sqref="I57"/>
    </sheetView>
  </sheetViews>
  <sheetFormatPr defaultRowHeight="15"/>
  <cols>
    <col min="1" max="1" width="30.42578125" customWidth="1"/>
    <col min="2" max="3" width="4.7109375" style="30" customWidth="1"/>
    <col min="4" max="4" width="9.7109375" customWidth="1"/>
    <col min="5" max="6" width="9.7109375" style="30" customWidth="1"/>
    <col min="7" max="7" width="9.7109375" customWidth="1"/>
    <col min="8" max="8" width="9.7109375" style="30" customWidth="1"/>
    <col min="9" max="11" width="9.7109375" customWidth="1"/>
    <col min="12" max="12" width="9.7109375" style="30" customWidth="1"/>
    <col min="13" max="13" width="9.7109375" customWidth="1"/>
  </cols>
  <sheetData>
    <row r="1" spans="1:13" ht="18.75">
      <c r="A1" s="10" t="s">
        <v>13</v>
      </c>
      <c r="B1" s="10"/>
      <c r="C1" s="10"/>
    </row>
    <row r="2" spans="1:13">
      <c r="A2" t="s">
        <v>7</v>
      </c>
    </row>
    <row r="3" spans="1:13" s="11" customFormat="1">
      <c r="A3" s="28"/>
      <c r="B3" s="33"/>
      <c r="C3" s="33"/>
      <c r="D3" s="28"/>
      <c r="E3" s="33"/>
      <c r="F3" s="33"/>
      <c r="G3" s="29"/>
      <c r="H3" s="34"/>
      <c r="I3" s="29"/>
      <c r="J3" s="35"/>
      <c r="K3" s="36"/>
      <c r="L3" s="36"/>
      <c r="M3" s="66" t="s">
        <v>83</v>
      </c>
    </row>
    <row r="4" spans="1:13" ht="87.75">
      <c r="A4" s="1" t="s">
        <v>3</v>
      </c>
      <c r="B4" s="15" t="s">
        <v>40</v>
      </c>
      <c r="C4" s="15" t="s">
        <v>41</v>
      </c>
      <c r="D4" s="15" t="s">
        <v>0</v>
      </c>
      <c r="E4" s="16" t="s">
        <v>68</v>
      </c>
      <c r="F4" s="16" t="s">
        <v>84</v>
      </c>
      <c r="G4" s="16" t="s">
        <v>15</v>
      </c>
      <c r="H4" s="16" t="s">
        <v>85</v>
      </c>
      <c r="I4" s="16" t="s">
        <v>90</v>
      </c>
      <c r="J4" s="16" t="s">
        <v>11</v>
      </c>
      <c r="K4" s="16" t="s">
        <v>1</v>
      </c>
      <c r="L4" s="16" t="s">
        <v>4</v>
      </c>
      <c r="M4" s="16" t="s">
        <v>16</v>
      </c>
    </row>
    <row r="5" spans="1:13">
      <c r="A5" s="7" t="s">
        <v>83</v>
      </c>
      <c r="B5" s="3"/>
      <c r="C5" s="3"/>
      <c r="D5" s="3"/>
      <c r="E5" s="3"/>
      <c r="F5" s="3"/>
      <c r="G5" s="37"/>
      <c r="H5" s="37"/>
      <c r="I5" s="37"/>
      <c r="J5" s="37"/>
      <c r="K5" s="37"/>
      <c r="L5" s="44"/>
      <c r="M5" s="21"/>
    </row>
    <row r="6" spans="1:13" s="30" customFormat="1">
      <c r="A6" s="1" t="s">
        <v>17</v>
      </c>
      <c r="B6" s="45">
        <v>0</v>
      </c>
      <c r="C6" s="30">
        <v>5</v>
      </c>
      <c r="D6" s="61" t="s">
        <v>9</v>
      </c>
      <c r="E6" s="30">
        <v>0</v>
      </c>
      <c r="F6" s="30">
        <v>0</v>
      </c>
      <c r="G6" s="30">
        <v>1</v>
      </c>
      <c r="H6" s="30">
        <v>0</v>
      </c>
      <c r="I6" s="30">
        <v>1</v>
      </c>
      <c r="J6" s="30">
        <v>3</v>
      </c>
      <c r="K6" s="30">
        <v>1</v>
      </c>
      <c r="L6" s="54" t="s">
        <v>9</v>
      </c>
      <c r="M6" s="41" t="s">
        <v>18</v>
      </c>
    </row>
    <row r="7" spans="1:13" s="30" customFormat="1">
      <c r="A7" s="1" t="s">
        <v>19</v>
      </c>
      <c r="B7" s="45">
        <v>0</v>
      </c>
      <c r="C7" s="30">
        <v>6</v>
      </c>
      <c r="D7" s="61" t="s">
        <v>9</v>
      </c>
      <c r="E7" s="30">
        <v>0</v>
      </c>
      <c r="F7" s="30">
        <v>1</v>
      </c>
      <c r="G7" s="30">
        <v>1</v>
      </c>
      <c r="H7" s="30">
        <v>0</v>
      </c>
      <c r="I7" s="30">
        <v>1</v>
      </c>
      <c r="J7" s="30">
        <v>4.2</v>
      </c>
      <c r="K7" s="30">
        <v>3</v>
      </c>
      <c r="L7" s="54" t="s">
        <v>9</v>
      </c>
      <c r="M7" s="41" t="s">
        <v>18</v>
      </c>
    </row>
    <row r="8" spans="1:13" s="30" customFormat="1">
      <c r="A8" s="1" t="s">
        <v>20</v>
      </c>
      <c r="B8" s="45">
        <v>0</v>
      </c>
      <c r="C8" s="30">
        <v>6</v>
      </c>
      <c r="D8" s="61" t="s">
        <v>9</v>
      </c>
      <c r="E8" s="30">
        <v>0</v>
      </c>
      <c r="F8" s="30">
        <v>0</v>
      </c>
      <c r="G8" s="30">
        <v>6</v>
      </c>
      <c r="H8" s="30">
        <v>0</v>
      </c>
      <c r="I8" s="30">
        <v>2</v>
      </c>
      <c r="J8" s="30">
        <v>6</v>
      </c>
      <c r="K8" s="30">
        <v>4</v>
      </c>
      <c r="L8" s="54" t="s">
        <v>9</v>
      </c>
      <c r="M8" s="41" t="s">
        <v>18</v>
      </c>
    </row>
    <row r="9" spans="1:13" s="30" customFormat="1">
      <c r="A9" s="1" t="s">
        <v>21</v>
      </c>
      <c r="B9" s="45">
        <v>0</v>
      </c>
      <c r="C9" s="30">
        <v>9</v>
      </c>
      <c r="D9" s="61" t="s">
        <v>9</v>
      </c>
      <c r="E9" s="30">
        <v>4</v>
      </c>
      <c r="F9" s="30">
        <v>2</v>
      </c>
      <c r="G9" s="30">
        <v>5</v>
      </c>
      <c r="H9" s="30">
        <v>0</v>
      </c>
      <c r="I9" s="30">
        <v>0</v>
      </c>
      <c r="J9" s="30">
        <v>6</v>
      </c>
      <c r="K9" s="30">
        <v>5</v>
      </c>
      <c r="L9" s="54" t="s">
        <v>9</v>
      </c>
      <c r="M9" s="41" t="s">
        <v>18</v>
      </c>
    </row>
    <row r="10" spans="1:13" s="30" customFormat="1">
      <c r="A10" s="1" t="s">
        <v>22</v>
      </c>
      <c r="B10" s="45">
        <v>0</v>
      </c>
      <c r="C10" s="30">
        <v>12</v>
      </c>
      <c r="D10" s="61" t="s">
        <v>9</v>
      </c>
      <c r="E10" s="30">
        <v>4.2</v>
      </c>
      <c r="F10" s="30">
        <v>2.2000000000000002</v>
      </c>
      <c r="G10" s="30">
        <v>0</v>
      </c>
      <c r="H10" s="30">
        <v>0</v>
      </c>
      <c r="I10" s="30">
        <v>0</v>
      </c>
      <c r="J10" s="30">
        <v>6.1</v>
      </c>
      <c r="K10" s="30">
        <v>0</v>
      </c>
      <c r="L10" s="54" t="s">
        <v>9</v>
      </c>
      <c r="M10" s="41" t="s">
        <v>18</v>
      </c>
    </row>
    <row r="11" spans="1:13" s="30" customFormat="1">
      <c r="A11" s="1" t="s">
        <v>23</v>
      </c>
      <c r="B11" s="45">
        <v>0</v>
      </c>
      <c r="C11" s="30">
        <v>10</v>
      </c>
      <c r="D11" s="61" t="s">
        <v>9</v>
      </c>
      <c r="E11" s="30">
        <v>1</v>
      </c>
      <c r="F11" s="30">
        <v>1</v>
      </c>
      <c r="G11" s="30">
        <v>3</v>
      </c>
      <c r="H11" s="30">
        <v>0</v>
      </c>
      <c r="I11" s="30">
        <v>2</v>
      </c>
      <c r="J11" s="30">
        <v>10.199999999999999</v>
      </c>
      <c r="K11" s="30">
        <v>2</v>
      </c>
      <c r="L11" s="54" t="s">
        <v>9</v>
      </c>
      <c r="M11" s="41" t="s">
        <v>18</v>
      </c>
    </row>
    <row r="12" spans="1:13" s="30" customFormat="1">
      <c r="A12" s="1" t="s">
        <v>24</v>
      </c>
      <c r="B12" s="45">
        <v>0</v>
      </c>
      <c r="C12" s="30">
        <v>4</v>
      </c>
      <c r="D12" s="61" t="s">
        <v>9</v>
      </c>
      <c r="E12" s="30">
        <v>0</v>
      </c>
      <c r="F12" s="30">
        <v>0</v>
      </c>
      <c r="G12" s="30">
        <v>0</v>
      </c>
      <c r="H12" s="30">
        <v>0</v>
      </c>
      <c r="I12" s="30">
        <v>1</v>
      </c>
      <c r="J12" s="30">
        <v>4</v>
      </c>
      <c r="K12" s="30">
        <v>1</v>
      </c>
      <c r="L12" s="54" t="s">
        <v>9</v>
      </c>
      <c r="M12" s="41" t="s">
        <v>18</v>
      </c>
    </row>
    <row r="13" spans="1:13" s="30" customFormat="1">
      <c r="A13" s="1" t="s">
        <v>25</v>
      </c>
      <c r="B13" s="45">
        <v>0</v>
      </c>
      <c r="C13" s="30">
        <v>8</v>
      </c>
      <c r="D13" s="61" t="s">
        <v>9</v>
      </c>
      <c r="E13" s="30">
        <v>2.1</v>
      </c>
      <c r="F13" s="30">
        <v>2</v>
      </c>
      <c r="G13" s="30">
        <v>0</v>
      </c>
      <c r="H13" s="30">
        <v>0</v>
      </c>
      <c r="I13" s="30">
        <v>2</v>
      </c>
      <c r="J13" s="30">
        <v>6</v>
      </c>
      <c r="K13" s="30">
        <v>1.1000000000000001</v>
      </c>
      <c r="L13" s="54" t="s">
        <v>9</v>
      </c>
      <c r="M13" s="41" t="s">
        <v>18</v>
      </c>
    </row>
    <row r="14" spans="1:13" s="30" customFormat="1">
      <c r="A14" s="1" t="s">
        <v>26</v>
      </c>
      <c r="B14" s="45">
        <v>0</v>
      </c>
      <c r="C14" s="30">
        <v>13</v>
      </c>
      <c r="D14" s="61" t="s">
        <v>9</v>
      </c>
      <c r="E14" s="30">
        <v>1</v>
      </c>
      <c r="F14" s="30">
        <v>1</v>
      </c>
      <c r="G14" s="30">
        <v>2.1</v>
      </c>
      <c r="H14" s="30">
        <v>0</v>
      </c>
      <c r="I14" s="30">
        <v>1</v>
      </c>
      <c r="J14" s="30">
        <v>6.1</v>
      </c>
      <c r="K14" s="30">
        <v>1.1000000000000001</v>
      </c>
      <c r="L14" s="54" t="s">
        <v>9</v>
      </c>
      <c r="M14" s="41" t="s">
        <v>18</v>
      </c>
    </row>
    <row r="15" spans="1:13" s="30" customFormat="1">
      <c r="A15" s="1" t="s">
        <v>27</v>
      </c>
      <c r="B15" s="45">
        <v>0</v>
      </c>
      <c r="C15" s="30">
        <v>4</v>
      </c>
      <c r="D15" s="61" t="s">
        <v>9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3</v>
      </c>
      <c r="K15" s="30">
        <v>0</v>
      </c>
      <c r="L15" s="54" t="s">
        <v>9</v>
      </c>
      <c r="M15" s="41" t="s">
        <v>18</v>
      </c>
    </row>
    <row r="16" spans="1:13" s="30" customFormat="1">
      <c r="A16" s="1" t="s">
        <v>28</v>
      </c>
      <c r="B16" s="45">
        <v>0</v>
      </c>
      <c r="C16" s="30">
        <v>9</v>
      </c>
      <c r="D16" s="61" t="s">
        <v>9</v>
      </c>
      <c r="E16" s="30">
        <v>0</v>
      </c>
      <c r="F16" s="30">
        <v>0</v>
      </c>
      <c r="G16" s="30">
        <v>0</v>
      </c>
      <c r="H16" s="30">
        <v>0</v>
      </c>
      <c r="I16" s="30">
        <v>1</v>
      </c>
      <c r="J16" s="30">
        <v>6.2</v>
      </c>
      <c r="K16" s="30">
        <v>0</v>
      </c>
      <c r="L16" s="54" t="s">
        <v>9</v>
      </c>
      <c r="M16" s="41" t="s">
        <v>18</v>
      </c>
    </row>
    <row r="17" spans="1:13" s="30" customFormat="1">
      <c r="A17" s="1" t="s">
        <v>29</v>
      </c>
      <c r="B17" s="45">
        <v>0</v>
      </c>
      <c r="C17" s="30">
        <v>25</v>
      </c>
      <c r="D17" s="61" t="s">
        <v>9</v>
      </c>
      <c r="E17" s="30">
        <v>11.1</v>
      </c>
      <c r="F17" s="30">
        <v>3.1</v>
      </c>
      <c r="G17" s="30">
        <v>0</v>
      </c>
      <c r="H17" s="30">
        <v>2</v>
      </c>
      <c r="I17" s="30">
        <v>3.1</v>
      </c>
      <c r="J17" s="30">
        <v>20</v>
      </c>
      <c r="K17" s="30">
        <v>8.1</v>
      </c>
      <c r="L17" s="54" t="s">
        <v>9</v>
      </c>
      <c r="M17" s="41" t="s">
        <v>18</v>
      </c>
    </row>
    <row r="18" spans="1:13" s="30" customFormat="1">
      <c r="A18" s="1" t="s">
        <v>30</v>
      </c>
      <c r="B18" s="45">
        <v>0</v>
      </c>
      <c r="C18" s="30">
        <v>5</v>
      </c>
      <c r="D18" s="61" t="s">
        <v>9</v>
      </c>
      <c r="E18" s="30">
        <v>1</v>
      </c>
      <c r="F18" s="30">
        <v>0</v>
      </c>
      <c r="G18" s="30">
        <v>1</v>
      </c>
      <c r="H18" s="30">
        <v>0</v>
      </c>
      <c r="I18" s="30">
        <v>0</v>
      </c>
      <c r="J18" s="30">
        <v>2.1</v>
      </c>
      <c r="K18" s="30">
        <v>1</v>
      </c>
      <c r="L18" s="54" t="s">
        <v>9</v>
      </c>
      <c r="M18" s="41" t="s">
        <v>18</v>
      </c>
    </row>
    <row r="19" spans="1:13" s="30" customFormat="1">
      <c r="A19" s="1" t="s">
        <v>31</v>
      </c>
      <c r="B19" s="45">
        <v>0</v>
      </c>
      <c r="C19" s="30">
        <v>5</v>
      </c>
      <c r="D19" s="61" t="s">
        <v>9</v>
      </c>
      <c r="E19" s="30">
        <v>1</v>
      </c>
      <c r="F19" s="30">
        <v>1</v>
      </c>
      <c r="G19" s="30">
        <v>0</v>
      </c>
      <c r="H19" s="30">
        <v>0</v>
      </c>
      <c r="I19" s="30">
        <v>1</v>
      </c>
      <c r="J19" s="30">
        <v>4</v>
      </c>
      <c r="K19" s="30">
        <v>0</v>
      </c>
      <c r="L19" s="54" t="s">
        <v>9</v>
      </c>
      <c r="M19" s="41" t="s">
        <v>18</v>
      </c>
    </row>
    <row r="20" spans="1:13" s="30" customFormat="1">
      <c r="A20" s="4"/>
      <c r="B20" s="48"/>
      <c r="D20" s="48"/>
      <c r="L20" s="48"/>
      <c r="M20" s="43"/>
    </row>
    <row r="21" spans="1:13" s="30" customFormat="1">
      <c r="A21" s="7" t="s">
        <v>67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1:13" s="30" customFormat="1">
      <c r="A22" s="1" t="s">
        <v>32</v>
      </c>
      <c r="B22" s="53">
        <v>0</v>
      </c>
      <c r="C22" s="30">
        <v>121</v>
      </c>
      <c r="D22" s="62" t="s">
        <v>9</v>
      </c>
      <c r="E22" s="30">
        <v>121</v>
      </c>
      <c r="F22" s="30">
        <v>121</v>
      </c>
      <c r="G22" s="30">
        <v>121</v>
      </c>
      <c r="H22" s="30">
        <v>121</v>
      </c>
      <c r="I22" s="30">
        <v>121</v>
      </c>
      <c r="J22" s="30">
        <v>121</v>
      </c>
      <c r="K22" s="30">
        <v>121</v>
      </c>
      <c r="L22" s="52" t="s">
        <v>9</v>
      </c>
      <c r="M22" s="41" t="s">
        <v>33</v>
      </c>
    </row>
    <row r="23" spans="1:13" s="30" customFormat="1">
      <c r="A23" s="1" t="s">
        <v>34</v>
      </c>
      <c r="B23" s="53">
        <v>0</v>
      </c>
      <c r="C23" s="30">
        <v>121</v>
      </c>
      <c r="D23" s="62" t="s">
        <v>9</v>
      </c>
      <c r="E23" s="30">
        <v>96</v>
      </c>
      <c r="F23" s="30">
        <v>108</v>
      </c>
      <c r="G23" s="30">
        <v>102</v>
      </c>
      <c r="H23" s="30">
        <v>119</v>
      </c>
      <c r="I23" s="30">
        <v>106</v>
      </c>
      <c r="J23" s="30">
        <v>35</v>
      </c>
      <c r="K23" s="30">
        <v>94</v>
      </c>
      <c r="L23" s="52" t="s">
        <v>9</v>
      </c>
      <c r="M23" s="41" t="s">
        <v>33</v>
      </c>
    </row>
    <row r="24" spans="1:13" s="30" customFormat="1">
      <c r="A24" s="1" t="s">
        <v>35</v>
      </c>
      <c r="B24" s="45">
        <v>0</v>
      </c>
      <c r="C24" s="30">
        <v>121</v>
      </c>
      <c r="D24" s="61" t="s">
        <v>9</v>
      </c>
      <c r="E24" s="30">
        <v>25</v>
      </c>
      <c r="F24" s="30">
        <v>13</v>
      </c>
      <c r="G24" s="30">
        <v>19</v>
      </c>
      <c r="H24" s="30">
        <v>2</v>
      </c>
      <c r="I24" s="30">
        <v>15</v>
      </c>
      <c r="J24" s="30">
        <v>86</v>
      </c>
      <c r="K24" s="30">
        <v>27</v>
      </c>
      <c r="L24" s="54" t="s">
        <v>9</v>
      </c>
      <c r="M24" s="41" t="s">
        <v>33</v>
      </c>
    </row>
    <row r="25" spans="1:13" s="30" customFormat="1">
      <c r="A25" s="1" t="s">
        <v>36</v>
      </c>
      <c r="B25" s="45">
        <v>0</v>
      </c>
      <c r="C25" s="30">
        <v>121</v>
      </c>
      <c r="D25" s="61" t="s">
        <v>9</v>
      </c>
      <c r="E25" s="30">
        <v>21</v>
      </c>
      <c r="F25" s="30">
        <v>10</v>
      </c>
      <c r="G25" s="30">
        <v>18</v>
      </c>
      <c r="H25" s="30">
        <v>2</v>
      </c>
      <c r="I25" s="30">
        <v>14</v>
      </c>
      <c r="J25" s="30">
        <v>77</v>
      </c>
      <c r="K25" s="30">
        <v>24</v>
      </c>
      <c r="L25" s="54" t="s">
        <v>9</v>
      </c>
      <c r="M25" s="41" t="s">
        <v>33</v>
      </c>
    </row>
    <row r="26" spans="1:13" s="30" customFormat="1">
      <c r="A26" s="1" t="s">
        <v>37</v>
      </c>
      <c r="B26" s="45">
        <v>0</v>
      </c>
      <c r="C26" s="30">
        <v>121</v>
      </c>
      <c r="D26" s="61" t="s">
        <v>9</v>
      </c>
      <c r="E26" s="30">
        <v>4</v>
      </c>
      <c r="F26" s="30">
        <v>3</v>
      </c>
      <c r="G26" s="30">
        <v>1</v>
      </c>
      <c r="H26" s="30">
        <v>0</v>
      </c>
      <c r="I26" s="30">
        <v>1</v>
      </c>
      <c r="J26" s="30">
        <v>9</v>
      </c>
      <c r="K26" s="30">
        <v>3</v>
      </c>
      <c r="L26" s="54" t="s">
        <v>9</v>
      </c>
      <c r="M26" s="41" t="s">
        <v>33</v>
      </c>
    </row>
    <row r="27" spans="1:13" s="30" customFormat="1">
      <c r="A27" s="40" t="s">
        <v>38</v>
      </c>
      <c r="B27" s="38">
        <v>0</v>
      </c>
      <c r="C27" s="30">
        <v>100</v>
      </c>
      <c r="D27" s="62" t="s">
        <v>9</v>
      </c>
      <c r="E27" s="30">
        <v>79.3</v>
      </c>
      <c r="F27" s="30">
        <v>89.3</v>
      </c>
      <c r="G27" s="30">
        <v>84.3</v>
      </c>
      <c r="H27" s="30">
        <v>98.3</v>
      </c>
      <c r="I27" s="30">
        <v>87.6</v>
      </c>
      <c r="J27" s="30">
        <v>28.9</v>
      </c>
      <c r="K27" s="30">
        <v>77.7</v>
      </c>
      <c r="L27" s="52" t="s">
        <v>9</v>
      </c>
      <c r="M27" s="41" t="s">
        <v>39</v>
      </c>
    </row>
    <row r="28" spans="1:13" s="30" customFormat="1">
      <c r="A28" s="4"/>
      <c r="B28" s="5"/>
      <c r="C28" s="5"/>
      <c r="D28" s="5"/>
      <c r="E28" s="5"/>
      <c r="F28" s="5"/>
      <c r="G28" s="13"/>
      <c r="H28" s="13"/>
      <c r="I28" s="13"/>
      <c r="J28" s="13"/>
      <c r="K28" s="13"/>
      <c r="L28" s="13"/>
      <c r="M28" s="13"/>
    </row>
    <row r="29" spans="1:13" s="30" customFormat="1">
      <c r="A29" s="14" t="s">
        <v>2</v>
      </c>
      <c r="B29" s="22"/>
      <c r="C29" s="22"/>
      <c r="D29" s="22"/>
      <c r="E29" s="22"/>
      <c r="F29" s="22"/>
      <c r="G29" s="22"/>
      <c r="H29" s="67" t="s">
        <v>89</v>
      </c>
      <c r="I29" s="31"/>
      <c r="J29" s="23"/>
      <c r="K29" s="25"/>
      <c r="L29" s="24"/>
      <c r="M29" s="32" t="s">
        <v>12</v>
      </c>
    </row>
    <row r="30" spans="1:13" s="30" customFormat="1">
      <c r="A30" s="4"/>
      <c r="B30" s="5"/>
      <c r="C30" s="5"/>
      <c r="D30" s="5"/>
      <c r="E30" s="5"/>
      <c r="F30" s="5"/>
      <c r="G30" s="13"/>
      <c r="H30" s="13"/>
      <c r="I30" s="13"/>
      <c r="J30" s="13"/>
      <c r="K30" s="13"/>
      <c r="L30" s="13"/>
      <c r="M30" s="13"/>
    </row>
    <row r="31" spans="1:13" s="30" customFormat="1">
      <c r="A31" s="7" t="s">
        <v>69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</row>
    <row r="32" spans="1:13" s="30" customFormat="1">
      <c r="A32" s="6" t="s">
        <v>70</v>
      </c>
      <c r="B32" s="63" t="s">
        <v>86</v>
      </c>
      <c r="C32" s="55"/>
      <c r="D32" s="55"/>
      <c r="E32" s="55"/>
      <c r="F32" s="55"/>
      <c r="G32" s="39"/>
      <c r="H32" s="39"/>
      <c r="I32" s="39"/>
      <c r="J32" s="39"/>
      <c r="K32" s="39"/>
      <c r="M32" s="39"/>
    </row>
    <row r="33" spans="1:13" s="30" customFormat="1">
      <c r="A33" s="6" t="s">
        <v>71</v>
      </c>
      <c r="B33" s="55" t="s">
        <v>77</v>
      </c>
      <c r="C33" s="55"/>
      <c r="D33" s="55"/>
      <c r="E33" s="55"/>
      <c r="F33" s="55"/>
      <c r="G33" s="39"/>
      <c r="H33" s="39"/>
      <c r="I33" s="39"/>
      <c r="J33" s="39"/>
      <c r="K33" s="39"/>
      <c r="M33" s="39"/>
    </row>
    <row r="34" spans="1:13" s="30" customFormat="1">
      <c r="A34" s="6" t="s">
        <v>72</v>
      </c>
      <c r="B34" s="55" t="s">
        <v>78</v>
      </c>
      <c r="C34" s="55"/>
      <c r="D34" s="55"/>
      <c r="E34" s="55"/>
      <c r="F34" s="55"/>
      <c r="G34" s="39"/>
      <c r="H34" s="39"/>
      <c r="I34" s="39"/>
      <c r="J34" s="39"/>
      <c r="K34" s="39"/>
      <c r="M34" s="39"/>
    </row>
    <row r="35" spans="1:13" s="30" customFormat="1">
      <c r="A35" s="4"/>
      <c r="B35" s="49"/>
      <c r="C35" s="49"/>
      <c r="D35" s="49"/>
      <c r="E35" s="49"/>
      <c r="F35" s="49"/>
      <c r="G35" s="57"/>
      <c r="H35" s="57"/>
      <c r="I35" s="57"/>
      <c r="J35" s="50"/>
      <c r="K35" s="50"/>
      <c r="L35" s="50"/>
      <c r="M35" s="17"/>
    </row>
    <row r="36" spans="1:13" s="34" customFormat="1">
      <c r="A36" s="33"/>
      <c r="B36" s="33"/>
      <c r="C36" s="33"/>
      <c r="D36" s="33"/>
      <c r="E36" s="33"/>
      <c r="F36" s="33"/>
      <c r="J36" s="35"/>
      <c r="K36" s="36"/>
      <c r="L36" s="36"/>
      <c r="M36" s="35" t="s">
        <v>14</v>
      </c>
    </row>
    <row r="37" spans="1:13" s="30" customFormat="1" ht="87.75">
      <c r="A37" s="59" t="s">
        <v>3</v>
      </c>
      <c r="B37" s="58" t="s">
        <v>40</v>
      </c>
      <c r="C37" s="58" t="s">
        <v>41</v>
      </c>
      <c r="D37" s="58" t="s">
        <v>0</v>
      </c>
      <c r="E37" s="58" t="s">
        <v>68</v>
      </c>
      <c r="F37" s="58" t="s">
        <v>84</v>
      </c>
      <c r="G37" s="58" t="s">
        <v>15</v>
      </c>
      <c r="H37" s="58" t="s">
        <v>85</v>
      </c>
      <c r="I37" s="58" t="s">
        <v>90</v>
      </c>
      <c r="J37" s="58" t="s">
        <v>11</v>
      </c>
      <c r="K37" s="58" t="s">
        <v>1</v>
      </c>
      <c r="L37" s="58" t="s">
        <v>4</v>
      </c>
      <c r="M37" s="58" t="s">
        <v>16</v>
      </c>
    </row>
    <row r="38" spans="1:13" s="30" customFormat="1">
      <c r="A38" s="7" t="s">
        <v>42</v>
      </c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 s="30" customFormat="1">
      <c r="A39" s="1" t="s">
        <v>43</v>
      </c>
      <c r="B39" s="73">
        <v>0</v>
      </c>
      <c r="C39" s="38"/>
      <c r="D39" s="64" t="str">
        <f>"20 736"</f>
        <v>20 736</v>
      </c>
      <c r="E39" s="75">
        <v>5316</v>
      </c>
      <c r="F39" s="75">
        <v>7566</v>
      </c>
      <c r="G39" s="75">
        <v>11738</v>
      </c>
      <c r="H39" s="75">
        <v>8167</v>
      </c>
      <c r="I39" s="75">
        <v>11992</v>
      </c>
      <c r="J39" s="75">
        <v>6088</v>
      </c>
      <c r="K39" s="75">
        <v>5484</v>
      </c>
      <c r="L39" s="75">
        <v>8424</v>
      </c>
      <c r="M39" s="41" t="s">
        <v>44</v>
      </c>
    </row>
    <row r="40" spans="1:13" s="30" customFormat="1">
      <c r="A40" s="1" t="s">
        <v>45</v>
      </c>
      <c r="B40" s="46"/>
      <c r="C40" s="46"/>
      <c r="D40" s="69"/>
      <c r="E40" s="75"/>
      <c r="F40" s="75"/>
      <c r="G40" s="75"/>
      <c r="H40" s="75"/>
      <c r="I40" s="75"/>
      <c r="J40" s="75"/>
      <c r="K40" s="75"/>
      <c r="L40" s="75"/>
      <c r="M40" s="41"/>
    </row>
    <row r="41" spans="1:13" s="30" customFormat="1">
      <c r="A41" s="1" t="s">
        <v>46</v>
      </c>
      <c r="B41" s="73">
        <v>0</v>
      </c>
      <c r="C41" s="38"/>
      <c r="D41" s="64" t="str">
        <f>"14 564"</f>
        <v>14 564</v>
      </c>
      <c r="E41" s="75">
        <v>4002</v>
      </c>
      <c r="F41" s="75">
        <v>3814</v>
      </c>
      <c r="G41" s="75">
        <v>8282</v>
      </c>
      <c r="H41" s="75">
        <v>6694</v>
      </c>
      <c r="I41" s="75">
        <v>8411</v>
      </c>
      <c r="J41" s="75">
        <v>3585</v>
      </c>
      <c r="K41" s="75">
        <v>8801</v>
      </c>
      <c r="L41" s="75">
        <v>3021</v>
      </c>
      <c r="M41" s="41" t="s">
        <v>44</v>
      </c>
    </row>
    <row r="42" spans="1:13" s="30" customFormat="1">
      <c r="A42" s="1" t="s">
        <v>47</v>
      </c>
      <c r="B42" s="73">
        <v>0</v>
      </c>
      <c r="C42" s="38"/>
      <c r="D42" s="64" t="str">
        <f>"16 310"</f>
        <v>16 310</v>
      </c>
      <c r="E42" s="75">
        <v>4072</v>
      </c>
      <c r="F42" s="75">
        <v>1738</v>
      </c>
      <c r="G42" s="75">
        <v>10556</v>
      </c>
      <c r="H42" s="75">
        <v>8602</v>
      </c>
      <c r="I42" s="75">
        <v>10411</v>
      </c>
      <c r="J42" s="75">
        <v>683</v>
      </c>
      <c r="K42" s="75">
        <v>8526</v>
      </c>
      <c r="L42" s="75">
        <v>3926</v>
      </c>
      <c r="M42" s="41" t="s">
        <v>44</v>
      </c>
    </row>
    <row r="43" spans="1:13" s="30" customFormat="1">
      <c r="A43" s="1" t="s">
        <v>48</v>
      </c>
      <c r="B43" s="73">
        <v>0</v>
      </c>
      <c r="C43" s="38"/>
      <c r="D43" s="64" t="str">
        <f>"17 107"</f>
        <v>17 107</v>
      </c>
      <c r="E43" s="75">
        <v>4497</v>
      </c>
      <c r="F43" s="75">
        <v>1954</v>
      </c>
      <c r="G43" s="75">
        <v>11012</v>
      </c>
      <c r="H43" s="75">
        <v>8989</v>
      </c>
      <c r="I43" s="75">
        <v>11208</v>
      </c>
      <c r="J43" s="75">
        <v>1142</v>
      </c>
      <c r="K43" s="75">
        <v>9721</v>
      </c>
      <c r="L43" s="75">
        <v>3985</v>
      </c>
      <c r="M43" s="41" t="s">
        <v>44</v>
      </c>
    </row>
    <row r="44" spans="1:13" s="30" customFormat="1">
      <c r="A44" s="1" t="s">
        <v>49</v>
      </c>
      <c r="B44" s="73">
        <v>0</v>
      </c>
      <c r="C44" s="38"/>
      <c r="D44" s="64" t="str">
        <f>"15 876"</f>
        <v>15 876</v>
      </c>
      <c r="E44" s="75">
        <v>4113</v>
      </c>
      <c r="F44" s="75">
        <v>2218</v>
      </c>
      <c r="G44" s="75">
        <v>9790</v>
      </c>
      <c r="H44" s="75">
        <v>7925</v>
      </c>
      <c r="I44" s="75">
        <v>9837</v>
      </c>
      <c r="J44" s="75">
        <v>1145</v>
      </c>
      <c r="K44" s="75">
        <v>8904</v>
      </c>
      <c r="L44" s="75">
        <v>3534</v>
      </c>
      <c r="M44" s="41" t="s">
        <v>44</v>
      </c>
    </row>
    <row r="45" spans="1:13" s="30" customFormat="1">
      <c r="A45" s="1" t="s">
        <v>50</v>
      </c>
      <c r="B45" s="46"/>
      <c r="C45" s="46"/>
      <c r="D45" s="69" t="s">
        <v>88</v>
      </c>
      <c r="E45" s="75"/>
      <c r="F45" s="75"/>
      <c r="G45" s="75"/>
      <c r="H45" s="75"/>
      <c r="I45" s="75"/>
      <c r="J45" s="75"/>
      <c r="K45" s="75"/>
      <c r="L45" s="75"/>
      <c r="M45" s="41"/>
    </row>
    <row r="46" spans="1:13" s="30" customFormat="1">
      <c r="A46" s="1" t="s">
        <v>46</v>
      </c>
      <c r="B46" s="73">
        <v>0</v>
      </c>
      <c r="C46" s="38"/>
      <c r="D46" s="64" t="str">
        <f>"39 200"</f>
        <v>39 200</v>
      </c>
      <c r="E46" s="75">
        <v>5329</v>
      </c>
      <c r="F46" s="75">
        <v>5200</v>
      </c>
      <c r="G46" s="76">
        <v>40177</v>
      </c>
      <c r="H46" s="75">
        <v>13687</v>
      </c>
      <c r="I46" s="75">
        <v>14424</v>
      </c>
      <c r="J46" s="76">
        <v>18663</v>
      </c>
      <c r="K46" s="75">
        <v>14060</v>
      </c>
      <c r="L46" s="75">
        <v>3464</v>
      </c>
      <c r="M46" s="41" t="s">
        <v>44</v>
      </c>
    </row>
    <row r="47" spans="1:13" s="30" customFormat="1">
      <c r="A47" s="1" t="s">
        <v>47</v>
      </c>
      <c r="B47" s="73">
        <v>0</v>
      </c>
      <c r="C47" s="38"/>
      <c r="D47" s="64" t="str">
        <f>"40 863"</f>
        <v>40 863</v>
      </c>
      <c r="E47" s="75">
        <v>6592</v>
      </c>
      <c r="F47" s="75">
        <v>2113</v>
      </c>
      <c r="G47" s="76">
        <v>38803</v>
      </c>
      <c r="H47" s="75">
        <v>24607</v>
      </c>
      <c r="I47" s="75">
        <v>21991</v>
      </c>
      <c r="J47" s="76">
        <v>13631</v>
      </c>
      <c r="K47" s="75">
        <v>13563</v>
      </c>
      <c r="L47" s="75">
        <v>3774</v>
      </c>
      <c r="M47" s="41" t="s">
        <v>44</v>
      </c>
    </row>
    <row r="48" spans="1:13" s="30" customFormat="1">
      <c r="A48" s="1" t="s">
        <v>48</v>
      </c>
      <c r="B48" s="73">
        <v>0</v>
      </c>
      <c r="C48" s="38"/>
      <c r="D48" s="64" t="str">
        <f>"25 242"</f>
        <v>25 242</v>
      </c>
      <c r="E48" s="75">
        <v>7485</v>
      </c>
      <c r="F48" s="75">
        <v>2252</v>
      </c>
      <c r="G48" s="77">
        <v>60357</v>
      </c>
      <c r="H48" s="75">
        <v>25634</v>
      </c>
      <c r="I48" s="75">
        <v>27326</v>
      </c>
      <c r="J48" s="77">
        <v>14347</v>
      </c>
      <c r="K48" s="75">
        <v>24594</v>
      </c>
      <c r="L48" s="75">
        <v>4019</v>
      </c>
      <c r="M48" s="41" t="s">
        <v>44</v>
      </c>
    </row>
    <row r="49" spans="1:13" s="30" customFormat="1">
      <c r="A49" s="1" t="s">
        <v>49</v>
      </c>
      <c r="B49" s="73">
        <v>0</v>
      </c>
      <c r="C49" s="38"/>
      <c r="D49" s="64" t="str">
        <f>"32 970"</f>
        <v>32 970</v>
      </c>
      <c r="E49" s="75">
        <v>6311</v>
      </c>
      <c r="F49" s="75">
        <v>2693</v>
      </c>
      <c r="G49" s="76">
        <v>43980</v>
      </c>
      <c r="H49" s="75">
        <v>19278</v>
      </c>
      <c r="I49" s="75">
        <v>19755</v>
      </c>
      <c r="J49" s="76">
        <v>14993</v>
      </c>
      <c r="K49" s="75">
        <v>15887</v>
      </c>
      <c r="L49" s="75">
        <v>3724</v>
      </c>
      <c r="M49" s="41" t="s">
        <v>44</v>
      </c>
    </row>
    <row r="50" spans="1:13" s="30" customFormat="1">
      <c r="A50" s="4"/>
      <c r="B50" s="48"/>
      <c r="C50" s="48"/>
      <c r="D50" s="70"/>
      <c r="E50" s="75"/>
      <c r="F50" s="75"/>
      <c r="G50" s="75"/>
      <c r="H50" s="75"/>
      <c r="I50" s="75"/>
      <c r="J50" s="75"/>
      <c r="K50" s="75"/>
      <c r="L50" s="75"/>
      <c r="M50" s="4"/>
    </row>
    <row r="51" spans="1:13" s="30" customFormat="1">
      <c r="A51" s="7" t="s">
        <v>51</v>
      </c>
      <c r="B51" s="7"/>
      <c r="C51" s="7"/>
      <c r="D51" s="71"/>
      <c r="E51" s="71"/>
      <c r="F51" s="71"/>
      <c r="G51" s="71"/>
      <c r="H51" s="71"/>
      <c r="I51" s="71"/>
      <c r="J51" s="71"/>
      <c r="K51" s="71"/>
      <c r="L51" s="71"/>
      <c r="M51" s="7"/>
    </row>
    <row r="52" spans="1:13" s="30" customFormat="1">
      <c r="A52" s="1" t="s">
        <v>52</v>
      </c>
      <c r="B52" s="42"/>
      <c r="C52" s="42"/>
      <c r="D52" s="72"/>
      <c r="E52" s="75"/>
      <c r="F52" s="75"/>
      <c r="G52" s="75"/>
      <c r="H52" s="75"/>
      <c r="I52" s="75"/>
      <c r="J52" s="75"/>
      <c r="K52" s="75"/>
      <c r="L52" s="75"/>
      <c r="M52" s="41"/>
    </row>
    <row r="53" spans="1:13" s="30" customFormat="1">
      <c r="A53" s="1" t="s">
        <v>53</v>
      </c>
      <c r="B53" s="73">
        <v>0</v>
      </c>
      <c r="C53" s="38"/>
      <c r="D53" s="64" t="s">
        <v>9</v>
      </c>
      <c r="E53" s="75">
        <v>564</v>
      </c>
      <c r="F53" s="75">
        <v>754</v>
      </c>
      <c r="G53" s="75">
        <v>7619</v>
      </c>
      <c r="H53" s="75">
        <v>1461</v>
      </c>
      <c r="I53" s="75">
        <v>2961</v>
      </c>
      <c r="J53" s="75">
        <v>1015</v>
      </c>
      <c r="K53" s="75">
        <v>3251</v>
      </c>
      <c r="L53" s="75">
        <v>232</v>
      </c>
      <c r="M53" s="41" t="s">
        <v>54</v>
      </c>
    </row>
    <row r="54" spans="1:13" s="30" customFormat="1">
      <c r="A54" s="1" t="s">
        <v>55</v>
      </c>
      <c r="B54" s="73">
        <v>0</v>
      </c>
      <c r="C54" s="38"/>
      <c r="D54" s="64" t="s">
        <v>9</v>
      </c>
      <c r="E54" s="75">
        <v>6471</v>
      </c>
      <c r="F54" s="75">
        <v>9474</v>
      </c>
      <c r="G54" s="75">
        <v>12563</v>
      </c>
      <c r="H54" s="75">
        <v>9046</v>
      </c>
      <c r="I54" s="78">
        <v>9697</v>
      </c>
      <c r="J54" s="79" t="s">
        <v>9</v>
      </c>
      <c r="K54" s="75">
        <v>3407</v>
      </c>
      <c r="L54" s="79" t="s">
        <v>9</v>
      </c>
      <c r="M54" s="41" t="s">
        <v>54</v>
      </c>
    </row>
    <row r="55" spans="1:13" s="30" customFormat="1">
      <c r="A55" s="1" t="s">
        <v>56</v>
      </c>
      <c r="B55" s="73">
        <v>0</v>
      </c>
      <c r="C55" s="38"/>
      <c r="D55" s="64" t="str">
        <f>"17 928"</f>
        <v>17 928</v>
      </c>
      <c r="E55" s="75">
        <v>8783</v>
      </c>
      <c r="F55" s="79" t="s">
        <v>9</v>
      </c>
      <c r="G55" s="75">
        <v>15307</v>
      </c>
      <c r="H55" s="75">
        <v>10889</v>
      </c>
      <c r="I55" s="80" t="s">
        <v>9</v>
      </c>
      <c r="J55" s="75">
        <v>3955</v>
      </c>
      <c r="K55" s="75">
        <v>6201</v>
      </c>
      <c r="L55" s="75">
        <v>7695</v>
      </c>
      <c r="M55" s="41" t="s">
        <v>54</v>
      </c>
    </row>
    <row r="56" spans="1:13" s="30" customFormat="1">
      <c r="A56" s="1" t="s">
        <v>57</v>
      </c>
      <c r="B56" s="42"/>
      <c r="C56" s="42"/>
      <c r="D56" s="72"/>
      <c r="E56" s="75"/>
      <c r="F56" s="75"/>
      <c r="G56" s="75"/>
      <c r="H56" s="75"/>
      <c r="I56" s="75"/>
      <c r="J56" s="75"/>
      <c r="K56" s="75"/>
      <c r="L56" s="75"/>
      <c r="M56" s="41"/>
    </row>
    <row r="57" spans="1:13" s="30" customFormat="1">
      <c r="A57" s="1" t="s">
        <v>58</v>
      </c>
      <c r="B57" s="73">
        <v>0</v>
      </c>
      <c r="C57" s="38"/>
      <c r="D57" s="64" t="s">
        <v>9</v>
      </c>
      <c r="E57" s="75">
        <v>4540</v>
      </c>
      <c r="F57" s="75">
        <v>7800</v>
      </c>
      <c r="G57" s="75">
        <v>10628</v>
      </c>
      <c r="H57" s="75">
        <v>6883</v>
      </c>
      <c r="I57" s="75">
        <v>7109</v>
      </c>
      <c r="J57" s="75">
        <v>711</v>
      </c>
      <c r="K57" s="75">
        <v>3074</v>
      </c>
      <c r="L57" s="75">
        <v>222</v>
      </c>
      <c r="M57" s="41" t="s">
        <v>59</v>
      </c>
    </row>
    <row r="58" spans="1:13" s="30" customFormat="1">
      <c r="A58" s="1" t="s">
        <v>60</v>
      </c>
      <c r="B58" s="73">
        <v>0</v>
      </c>
      <c r="C58" s="38"/>
      <c r="D58" s="64" t="s">
        <v>9</v>
      </c>
      <c r="E58" s="75">
        <v>3683</v>
      </c>
      <c r="F58" s="75">
        <v>7072</v>
      </c>
      <c r="G58" s="75">
        <v>9270</v>
      </c>
      <c r="H58" s="75">
        <v>5410</v>
      </c>
      <c r="I58" s="75">
        <v>5635</v>
      </c>
      <c r="J58" s="75">
        <v>634</v>
      </c>
      <c r="K58" s="75">
        <v>2816</v>
      </c>
      <c r="L58" s="75">
        <v>213</v>
      </c>
      <c r="M58" s="41" t="s">
        <v>59</v>
      </c>
    </row>
    <row r="59" spans="1:13">
      <c r="A59" s="1" t="s">
        <v>61</v>
      </c>
      <c r="B59" s="73">
        <v>0</v>
      </c>
      <c r="C59" s="38"/>
      <c r="D59" s="64" t="s">
        <v>9</v>
      </c>
      <c r="E59" s="75">
        <v>2370</v>
      </c>
      <c r="F59" s="75">
        <v>5514</v>
      </c>
      <c r="G59" s="75">
        <v>6632</v>
      </c>
      <c r="H59" s="75">
        <v>3343</v>
      </c>
      <c r="I59" s="75">
        <v>3387</v>
      </c>
      <c r="J59" s="75">
        <v>494</v>
      </c>
      <c r="K59" s="75">
        <v>2271</v>
      </c>
      <c r="L59" s="75">
        <v>191</v>
      </c>
      <c r="M59" s="41" t="s">
        <v>59</v>
      </c>
    </row>
    <row r="60" spans="1:13">
      <c r="A60" s="1" t="s">
        <v>62</v>
      </c>
      <c r="B60" s="73">
        <v>0</v>
      </c>
      <c r="C60" s="38"/>
      <c r="D60" s="64" t="s">
        <v>9</v>
      </c>
      <c r="E60" s="75">
        <v>1474</v>
      </c>
      <c r="F60" s="75">
        <v>4116</v>
      </c>
      <c r="G60" s="75">
        <v>4606</v>
      </c>
      <c r="H60" s="75">
        <v>2030</v>
      </c>
      <c r="I60" s="75">
        <v>2079</v>
      </c>
      <c r="J60" s="75">
        <v>322</v>
      </c>
      <c r="K60" s="75">
        <v>1691</v>
      </c>
      <c r="L60" s="75">
        <v>190</v>
      </c>
      <c r="M60" s="41" t="s">
        <v>59</v>
      </c>
    </row>
    <row r="61" spans="1:13">
      <c r="A61" s="1" t="s">
        <v>63</v>
      </c>
      <c r="B61" s="42"/>
      <c r="C61" s="42"/>
      <c r="D61" s="72"/>
      <c r="E61" s="75"/>
      <c r="F61" s="75"/>
      <c r="G61" s="75"/>
      <c r="H61" s="75"/>
      <c r="I61" s="75"/>
      <c r="J61" s="75"/>
      <c r="K61" s="75"/>
      <c r="L61" s="75"/>
      <c r="M61" s="41"/>
    </row>
    <row r="62" spans="1:13">
      <c r="A62" s="1" t="s">
        <v>64</v>
      </c>
      <c r="B62" s="73">
        <v>0</v>
      </c>
      <c r="C62" s="38"/>
      <c r="D62" s="64" t="s">
        <v>9</v>
      </c>
      <c r="E62" s="75">
        <v>127751</v>
      </c>
      <c r="F62" s="75">
        <v>464403</v>
      </c>
      <c r="G62" s="75">
        <v>561135</v>
      </c>
      <c r="H62" s="75">
        <v>225093</v>
      </c>
      <c r="I62" s="75">
        <v>237490</v>
      </c>
      <c r="J62" s="75">
        <v>37059</v>
      </c>
      <c r="K62" s="75">
        <v>275186</v>
      </c>
      <c r="L62" s="75">
        <v>79156</v>
      </c>
      <c r="M62" s="41" t="s">
        <v>65</v>
      </c>
    </row>
    <row r="63" spans="1:13">
      <c r="A63" s="1" t="s">
        <v>66</v>
      </c>
      <c r="B63" s="74">
        <v>0</v>
      </c>
      <c r="C63" s="53"/>
      <c r="D63" s="64" t="str">
        <f>"1 209 628"</f>
        <v>1 209 628</v>
      </c>
      <c r="E63" s="75">
        <v>205300</v>
      </c>
      <c r="F63" s="81" t="s">
        <v>9</v>
      </c>
      <c r="G63" s="75">
        <v>868960</v>
      </c>
      <c r="H63" s="75">
        <v>278226</v>
      </c>
      <c r="I63" s="80" t="s">
        <v>9</v>
      </c>
      <c r="J63" s="75">
        <v>49050</v>
      </c>
      <c r="K63" s="75">
        <v>355960</v>
      </c>
      <c r="L63" s="75">
        <v>123517</v>
      </c>
      <c r="M63" s="41" t="s">
        <v>65</v>
      </c>
    </row>
    <row r="64" spans="1:13">
      <c r="A64" s="4"/>
      <c r="B64" s="49"/>
      <c r="C64" s="49"/>
      <c r="D64" s="49"/>
      <c r="E64" s="49"/>
      <c r="F64" s="49"/>
      <c r="G64" s="51"/>
      <c r="H64" s="51"/>
      <c r="I64" s="51"/>
      <c r="J64" s="51"/>
      <c r="K64" s="51"/>
      <c r="L64" s="49"/>
      <c r="M64" s="49"/>
    </row>
    <row r="65" spans="1:15">
      <c r="A65" s="7" t="s">
        <v>8</v>
      </c>
      <c r="B65" s="22"/>
      <c r="C65" s="20"/>
      <c r="D65" s="22"/>
      <c r="E65" s="37"/>
      <c r="F65" s="37"/>
      <c r="G65" s="3"/>
      <c r="H65" s="3"/>
      <c r="I65" s="3"/>
      <c r="J65" s="3"/>
      <c r="K65" s="3"/>
      <c r="L65" s="3"/>
      <c r="M65" s="3"/>
    </row>
    <row r="66" spans="1:15">
      <c r="A66" s="9" t="s">
        <v>5</v>
      </c>
      <c r="B66" s="22"/>
      <c r="C66" s="47"/>
      <c r="D66" s="60" t="s">
        <v>9</v>
      </c>
      <c r="E66" s="68" t="s">
        <v>9</v>
      </c>
      <c r="F66" s="68" t="s">
        <v>9</v>
      </c>
      <c r="G66" s="12">
        <v>1584128</v>
      </c>
      <c r="H66" s="18">
        <v>4345856</v>
      </c>
      <c r="I66" s="18">
        <v>911872</v>
      </c>
      <c r="J66" s="18">
        <v>2481844</v>
      </c>
      <c r="K66" s="18">
        <v>4755968</v>
      </c>
      <c r="L66" s="19">
        <v>285184</v>
      </c>
      <c r="M66" s="65" t="s">
        <v>87</v>
      </c>
      <c r="O66" s="30"/>
    </row>
    <row r="67" spans="1:15">
      <c r="A67" s="4"/>
      <c r="B67" s="5"/>
      <c r="C67" s="5"/>
      <c r="D67" s="5"/>
      <c r="E67" s="5"/>
      <c r="F67" s="5"/>
      <c r="G67" s="13"/>
      <c r="H67" s="13"/>
      <c r="I67" s="13"/>
      <c r="J67" s="13"/>
      <c r="K67" s="13"/>
      <c r="L67" s="13"/>
      <c r="M67" s="13"/>
    </row>
    <row r="68" spans="1:15">
      <c r="A68" s="14" t="s">
        <v>2</v>
      </c>
      <c r="B68" s="22"/>
      <c r="C68" s="22"/>
      <c r="D68" s="22"/>
      <c r="E68" s="22"/>
      <c r="F68" s="22"/>
      <c r="G68" s="22"/>
      <c r="H68" s="67" t="s">
        <v>89</v>
      </c>
      <c r="I68" s="31"/>
      <c r="J68" s="23"/>
      <c r="K68" s="25"/>
      <c r="L68" s="24"/>
      <c r="M68" s="32" t="s">
        <v>12</v>
      </c>
    </row>
    <row r="69" spans="1:15" s="30" customFormat="1">
      <c r="A69" s="4"/>
      <c r="B69" s="5"/>
      <c r="C69" s="5"/>
      <c r="D69" s="5"/>
      <c r="E69" s="5"/>
      <c r="F69" s="5"/>
      <c r="G69" s="13"/>
      <c r="H69" s="13"/>
      <c r="I69" s="13"/>
      <c r="J69" s="13"/>
      <c r="K69" s="13"/>
      <c r="L69" s="13"/>
      <c r="M69" s="13"/>
    </row>
    <row r="70" spans="1:15">
      <c r="A70" s="7" t="s">
        <v>69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spans="1:15" s="30" customFormat="1">
      <c r="A71" s="6" t="s">
        <v>73</v>
      </c>
      <c r="B71" s="55" t="s">
        <v>79</v>
      </c>
      <c r="C71" s="55"/>
      <c r="D71" s="55"/>
      <c r="E71" s="55"/>
      <c r="F71" s="55"/>
      <c r="G71" s="39"/>
      <c r="H71" s="39"/>
      <c r="I71" s="39"/>
      <c r="J71" s="39"/>
      <c r="K71" s="39"/>
      <c r="M71" s="39"/>
    </row>
    <row r="72" spans="1:15" s="30" customFormat="1">
      <c r="A72" s="6" t="s">
        <v>74</v>
      </c>
      <c r="B72" s="55" t="s">
        <v>80</v>
      </c>
      <c r="C72" s="55"/>
      <c r="D72" s="55"/>
      <c r="E72" s="55"/>
      <c r="F72" s="55"/>
      <c r="G72" s="39"/>
      <c r="H72" s="39"/>
      <c r="I72" s="39"/>
      <c r="J72" s="39"/>
      <c r="K72" s="39"/>
      <c r="M72" s="39"/>
    </row>
    <row r="73" spans="1:15" s="30" customFormat="1">
      <c r="A73" s="6" t="s">
        <v>75</v>
      </c>
      <c r="B73" s="55" t="s">
        <v>81</v>
      </c>
      <c r="C73" s="55"/>
      <c r="D73" s="55"/>
      <c r="E73" s="55"/>
      <c r="F73" s="55"/>
      <c r="G73" s="39"/>
      <c r="H73" s="39"/>
      <c r="I73" s="39"/>
      <c r="J73" s="39"/>
      <c r="K73" s="39"/>
      <c r="M73" s="39"/>
    </row>
    <row r="74" spans="1:15" s="30" customFormat="1">
      <c r="A74" s="6" t="s">
        <v>76</v>
      </c>
      <c r="B74" s="55" t="s">
        <v>82</v>
      </c>
      <c r="C74" s="55"/>
      <c r="D74" s="55"/>
      <c r="E74" s="55"/>
      <c r="F74" s="55"/>
      <c r="G74" s="55"/>
      <c r="H74" s="55"/>
      <c r="I74" s="55"/>
      <c r="J74" s="55"/>
      <c r="K74" s="55"/>
      <c r="L74" s="56"/>
      <c r="M74" s="55"/>
    </row>
    <row r="75" spans="1:15" s="27" customFormat="1">
      <c r="A75" s="26"/>
      <c r="B75" s="33"/>
      <c r="C75" s="33"/>
      <c r="E75" s="34"/>
      <c r="F75" s="34"/>
      <c r="H75" s="34"/>
      <c r="L75" s="34"/>
    </row>
    <row r="76" spans="1:15" s="34" customFormat="1">
      <c r="A76" s="2" t="s">
        <v>6</v>
      </c>
      <c r="B76" s="33"/>
      <c r="C76" s="33"/>
    </row>
    <row r="77" spans="1:15">
      <c r="A77" s="2" t="s">
        <v>6</v>
      </c>
      <c r="B77" s="2"/>
      <c r="C77" s="2"/>
      <c r="D77" s="2"/>
      <c r="E77" s="2"/>
      <c r="F77" s="2"/>
    </row>
    <row r="86" spans="1:12" ht="36">
      <c r="I86" s="8" t="s">
        <v>10</v>
      </c>
      <c r="J86" s="8"/>
    </row>
    <row r="93" spans="1:12">
      <c r="A93" s="2"/>
      <c r="B93" s="2"/>
      <c r="C93" s="2"/>
      <c r="D93" s="2"/>
      <c r="E93" s="2"/>
      <c r="F93" s="2"/>
      <c r="L93"/>
    </row>
    <row r="113" spans="1:12">
      <c r="A113" s="2"/>
      <c r="B113" s="2"/>
      <c r="C113" s="2"/>
      <c r="D113" s="2"/>
      <c r="E113" s="2"/>
      <c r="F113" s="2"/>
      <c r="L113"/>
    </row>
  </sheetData>
  <conditionalFormatting sqref="M59">
    <cfRule type="colorScale" priority="209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59">
    <cfRule type="colorScale" priority="2087">
      <colorScale>
        <cfvo type="percentile" val="10"/>
        <cfvo type="percentile" val="90"/>
        <color rgb="FFFF7128"/>
        <color rgb="FFFFEF9C"/>
      </colorScale>
    </cfRule>
    <cfRule type="top10" dxfId="75" priority="2088" percent="1" rank="33"/>
    <cfRule type="top10" dxfId="74" priority="2089" percent="1" rank="33"/>
    <cfRule type="top10" dxfId="73" priority="2090" rank="1"/>
  </conditionalFormatting>
  <conditionalFormatting sqref="M60">
    <cfRule type="colorScale" priority="1564">
      <colorScale>
        <cfvo type="percentile" val="10"/>
        <cfvo type="percentile" val="90"/>
        <color rgb="FFFF7128"/>
        <color rgb="FFFFEF9C"/>
      </colorScale>
    </cfRule>
    <cfRule type="top10" dxfId="72" priority="1565" percent="1" rank="33"/>
    <cfRule type="top10" dxfId="71" priority="1566" percent="1" rank="33"/>
    <cfRule type="top10" dxfId="70" priority="1567" rank="1"/>
  </conditionalFormatting>
  <conditionalFormatting sqref="M61">
    <cfRule type="top10" dxfId="69" priority="1563" percent="1" rank="33"/>
  </conditionalFormatting>
  <conditionalFormatting sqref="M61">
    <cfRule type="colorScale" priority="1556">
      <colorScale>
        <cfvo type="percentile" val="10"/>
        <cfvo type="percentile" val="90"/>
        <color rgb="FFFF7128"/>
        <color rgb="FFFFEF9C"/>
      </colorScale>
    </cfRule>
    <cfRule type="top10" dxfId="68" priority="1557" percent="1" rank="33"/>
    <cfRule type="top10" dxfId="67" priority="1558" percent="1" rank="33"/>
    <cfRule type="top10" dxfId="66" priority="1559" rank="1"/>
  </conditionalFormatting>
  <conditionalFormatting sqref="M60">
    <cfRule type="colorScale" priority="154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61">
    <cfRule type="colorScale" priority="154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62">
    <cfRule type="colorScale" priority="153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68:M68">
    <cfRule type="colorScale" priority="337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5">
    <cfRule type="colorScale" priority="395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68">
    <cfRule type="colorScale" priority="973">
      <colorScale>
        <cfvo type="percentile" val="10"/>
        <cfvo type="percentile" val="90"/>
        <color rgb="FFFF7128"/>
        <color rgb="FFFFEF9C"/>
      </colorScale>
    </cfRule>
    <cfRule type="top10" dxfId="65" priority="974" percent="1" rank="33"/>
    <cfRule type="top10" dxfId="64" priority="975" percent="1" rank="33"/>
    <cfRule type="top10" dxfId="63" priority="976" rank="1"/>
  </conditionalFormatting>
  <conditionalFormatting sqref="J68">
    <cfRule type="colorScale" priority="97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65">
    <cfRule type="colorScale" priority="943">
      <colorScale>
        <cfvo type="percentile" val="10"/>
        <cfvo type="percentile" val="90"/>
        <color rgb="FFFF7128"/>
        <color rgb="FFFFEF9C"/>
      </colorScale>
    </cfRule>
    <cfRule type="top10" dxfId="62" priority="944" percent="1" rank="33"/>
    <cfRule type="top10" dxfId="61" priority="945" percent="1" rank="33"/>
    <cfRule type="top10" dxfId="60" priority="946" rank="1"/>
  </conditionalFormatting>
  <conditionalFormatting sqref="C65">
    <cfRule type="colorScale" priority="94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68">
    <cfRule type="colorScale" priority="937">
      <colorScale>
        <cfvo type="percentile" val="10"/>
        <cfvo type="percentile" val="90"/>
        <color rgb="FFFF7128"/>
        <color rgb="FFFFEF9C"/>
      </colorScale>
    </cfRule>
    <cfRule type="top10" dxfId="59" priority="938" percent="1" rank="33"/>
    <cfRule type="top10" dxfId="58" priority="939" percent="1" rank="33"/>
    <cfRule type="top10" dxfId="57" priority="940" rank="1"/>
  </conditionalFormatting>
  <conditionalFormatting sqref="C68">
    <cfRule type="colorScale" priority="93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65:F65">
    <cfRule type="colorScale" priority="486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68:F68">
    <cfRule type="colorScale" priority="488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52:M59">
    <cfRule type="colorScale" priority="522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62:M63">
    <cfRule type="colorScale" priority="524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D66">
    <cfRule type="colorScale" priority="39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66">
    <cfRule type="colorScale" priority="38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68">
    <cfRule type="colorScale" priority="542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9">
    <cfRule type="colorScale" priority="173">
      <colorScale>
        <cfvo type="percentile" val="10"/>
        <cfvo type="percentile" val="90"/>
        <color rgb="FFFF7128"/>
        <color rgb="FFFFEF9C"/>
      </colorScale>
    </cfRule>
    <cfRule type="top10" dxfId="56" priority="174" percent="1" rank="33"/>
    <cfRule type="top10" dxfId="55" priority="175" percent="1" rank="33"/>
    <cfRule type="top10" dxfId="54" priority="176" rank="1"/>
  </conditionalFormatting>
  <conditionalFormatting sqref="I29:M29">
    <cfRule type="colorScale" priority="169">
      <colorScale>
        <cfvo type="percentile" val="10"/>
        <cfvo type="percentile" val="90"/>
        <color rgb="FFFF7128"/>
        <color rgb="FFFFEF9C"/>
      </colorScale>
    </cfRule>
    <cfRule type="top10" dxfId="53" priority="170" percent="1" rank="33"/>
    <cfRule type="top10" dxfId="52" priority="171" percent="1" rank="33"/>
    <cfRule type="top10" dxfId="51" priority="172" rank="1"/>
  </conditionalFormatting>
  <conditionalFormatting sqref="I29:M29">
    <cfRule type="colorScale" priority="16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9">
    <cfRule type="colorScale" priority="159">
      <colorScale>
        <cfvo type="percentile" val="10"/>
        <cfvo type="percentile" val="90"/>
        <color rgb="FFFF7128"/>
        <color rgb="FFFFEF9C"/>
      </colorScale>
    </cfRule>
    <cfRule type="top10" dxfId="50" priority="160" percent="1" rank="33"/>
    <cfRule type="top10" dxfId="49" priority="161" percent="1" rank="33"/>
    <cfRule type="top10" dxfId="48" priority="162" rank="1"/>
  </conditionalFormatting>
  <conditionalFormatting sqref="J29">
    <cfRule type="colorScale" priority="15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29">
    <cfRule type="colorScale" priority="149">
      <colorScale>
        <cfvo type="percentile" val="10"/>
        <cfvo type="percentile" val="90"/>
        <color rgb="FFFF7128"/>
        <color rgb="FFFFEF9C"/>
      </colorScale>
    </cfRule>
    <cfRule type="top10" dxfId="47" priority="150" percent="1" rank="33"/>
    <cfRule type="top10" dxfId="46" priority="151" percent="1" rank="33"/>
    <cfRule type="top10" dxfId="45" priority="152" rank="1"/>
  </conditionalFormatting>
  <conditionalFormatting sqref="C29">
    <cfRule type="colorScale" priority="14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:F29">
    <cfRule type="colorScale" priority="139">
      <colorScale>
        <cfvo type="percentile" val="10"/>
        <cfvo type="percentile" val="90"/>
        <color rgb="FFFF7128"/>
        <color rgb="FFFFEF9C"/>
      </colorScale>
    </cfRule>
    <cfRule type="top10" dxfId="44" priority="140" percent="1" rank="33"/>
    <cfRule type="top10" dxfId="43" priority="141" percent="1" rank="33"/>
    <cfRule type="top10" dxfId="42" priority="142" rank="1"/>
  </conditionalFormatting>
  <conditionalFormatting sqref="E29:F29">
    <cfRule type="colorScale" priority="13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9">
    <cfRule type="colorScale" priority="13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9">
    <cfRule type="colorScale" priority="122">
      <colorScale>
        <cfvo type="percentile" val="10"/>
        <cfvo type="percentile" val="90"/>
        <color rgb="FFFF7128"/>
        <color rgb="FFFFEF9C"/>
      </colorScale>
    </cfRule>
    <cfRule type="top10" dxfId="41" priority="123" percent="1" rank="33"/>
    <cfRule type="top10" dxfId="40" priority="124" percent="1" rank="33"/>
    <cfRule type="top10" dxfId="39" priority="125" rank="1"/>
  </conditionalFormatting>
  <conditionalFormatting sqref="G29">
    <cfRule type="colorScale" priority="1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9">
    <cfRule type="colorScale" priority="117">
      <colorScale>
        <cfvo type="percentile" val="10"/>
        <cfvo type="percentile" val="90"/>
        <color rgb="FFFF7128"/>
        <color rgb="FFFFEF9C"/>
      </colorScale>
    </cfRule>
    <cfRule type="top10" dxfId="38" priority="118" percent="1" rank="33"/>
    <cfRule type="top10" dxfId="37" priority="119" percent="1" rank="33"/>
    <cfRule type="top10" dxfId="36" priority="120" rank="1"/>
  </conditionalFormatting>
  <conditionalFormatting sqref="H29">
    <cfRule type="colorScale" priority="1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8">
    <cfRule type="colorScale" priority="102">
      <colorScale>
        <cfvo type="percentile" val="10"/>
        <cfvo type="percentile" val="90"/>
        <color rgb="FFFF7128"/>
        <color rgb="FFFFEF9C"/>
      </colorScale>
    </cfRule>
    <cfRule type="top10" dxfId="35" priority="103" percent="1" rank="33"/>
    <cfRule type="top10" dxfId="34" priority="104" percent="1" rank="33"/>
    <cfRule type="top10" dxfId="33" priority="105" rank="1"/>
  </conditionalFormatting>
  <conditionalFormatting sqref="G68">
    <cfRule type="colorScale" priority="10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8">
    <cfRule type="colorScale" priority="97">
      <colorScale>
        <cfvo type="percentile" val="10"/>
        <cfvo type="percentile" val="90"/>
        <color rgb="FFFF7128"/>
        <color rgb="FFFFEF9C"/>
      </colorScale>
    </cfRule>
    <cfRule type="top10" dxfId="32" priority="98" percent="1" rank="33"/>
    <cfRule type="top10" dxfId="31" priority="99" percent="1" rank="33"/>
    <cfRule type="top10" dxfId="30" priority="100" rank="1"/>
  </conditionalFormatting>
  <conditionalFormatting sqref="H68">
    <cfRule type="colorScale" priority="9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7:M67">
    <cfRule type="colorScale" priority="542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8:H68">
    <cfRule type="colorScale" priority="5428">
      <colorScale>
        <cfvo type="percentile" val="10"/>
        <cfvo type="percentile" val="90"/>
        <color rgb="FFFF7128"/>
        <color rgb="FFFFEF9C"/>
      </colorScale>
    </cfRule>
    <cfRule type="top10" dxfId="29" priority="5429" percent="1" rank="33"/>
    <cfRule type="top10" dxfId="28" priority="5430" percent="1" rank="33"/>
    <cfRule type="top10" dxfId="27" priority="5431" rank="1"/>
  </conditionalFormatting>
  <conditionalFormatting sqref="G68:H68">
    <cfRule type="colorScale" priority="543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68:I68">
    <cfRule type="colorScale" priority="544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9:M69">
    <cfRule type="colorScale" priority="555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9:M69">
    <cfRule type="colorScale" priority="5559">
      <colorScale>
        <cfvo type="percentile" val="10"/>
        <cfvo type="percentile" val="90"/>
        <color rgb="FFFF7128"/>
        <color rgb="FFFFEF9C"/>
      </colorScale>
    </cfRule>
    <cfRule type="top10" dxfId="26" priority="5560" percent="1" rank="33"/>
    <cfRule type="top10" dxfId="25" priority="5561" percent="1" rank="33"/>
    <cfRule type="top10" dxfId="24" priority="5562" rank="1"/>
  </conditionalFormatting>
  <conditionalFormatting sqref="G28:M28">
    <cfRule type="colorScale" priority="556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8:M28">
    <cfRule type="colorScale" priority="5569">
      <colorScale>
        <cfvo type="percentile" val="10"/>
        <cfvo type="percentile" val="90"/>
        <color rgb="FFFF7128"/>
        <color rgb="FFFFEF9C"/>
      </colorScale>
    </cfRule>
    <cfRule type="top10" dxfId="23" priority="5570" percent="1" rank="33"/>
    <cfRule type="top10" dxfId="22" priority="5571" percent="1" rank="33"/>
    <cfRule type="top10" dxfId="21" priority="5572" rank="1"/>
  </conditionalFormatting>
  <conditionalFormatting sqref="G29:H29">
    <cfRule type="colorScale" priority="5577">
      <colorScale>
        <cfvo type="percentile" val="10"/>
        <cfvo type="percentile" val="90"/>
        <color rgb="FFFF7128"/>
        <color rgb="FFFFEF9C"/>
      </colorScale>
    </cfRule>
    <cfRule type="top10" dxfId="20" priority="5578" percent="1" rank="33"/>
    <cfRule type="top10" dxfId="19" priority="5579" percent="1" rank="33"/>
    <cfRule type="top10" dxfId="18" priority="5580" rank="1"/>
  </conditionalFormatting>
  <conditionalFormatting sqref="G29:H29">
    <cfRule type="colorScale" priority="558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:I29">
    <cfRule type="colorScale" priority="5587">
      <colorScale>
        <cfvo type="percentile" val="10"/>
        <cfvo type="percentile" val="90"/>
        <color rgb="FFFF7128"/>
        <color rgb="FFFFEF9C"/>
      </colorScale>
    </cfRule>
    <cfRule type="top10" dxfId="17" priority="5588" percent="1" rank="33"/>
    <cfRule type="top10" dxfId="16" priority="5589" percent="1" rank="33"/>
    <cfRule type="top10" dxfId="15" priority="5590" rank="1"/>
  </conditionalFormatting>
  <conditionalFormatting sqref="E29:I29">
    <cfRule type="colorScale" priority="559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0:M30">
    <cfRule type="colorScale" priority="560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8">
    <cfRule type="colorScale" priority="78">
      <colorScale>
        <cfvo type="percentile" val="10"/>
        <cfvo type="percentile" val="90"/>
        <color rgb="FFFF7128"/>
        <color rgb="FFFFEF9C"/>
      </colorScale>
    </cfRule>
    <cfRule type="top10" dxfId="14" priority="79" percent="1" rank="33"/>
    <cfRule type="top10" dxfId="13" priority="80" percent="1" rank="33"/>
    <cfRule type="top10" dxfId="12" priority="81" rank="1"/>
  </conditionalFormatting>
  <conditionalFormatting sqref="H68">
    <cfRule type="colorScale" priority="7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8">
    <cfRule type="colorScale" priority="73">
      <colorScale>
        <cfvo type="percentile" val="10"/>
        <cfvo type="percentile" val="90"/>
        <color rgb="FFFF7128"/>
        <color rgb="FFFFEF9C"/>
      </colorScale>
    </cfRule>
    <cfRule type="top10" dxfId="11" priority="74" percent="1" rank="33"/>
    <cfRule type="top10" dxfId="10" priority="75" percent="1" rank="33"/>
    <cfRule type="top10" dxfId="9" priority="76" rank="1"/>
  </conditionalFormatting>
  <conditionalFormatting sqref="H68">
    <cfRule type="colorScale" priority="7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:K6">
    <cfRule type="colorScale" priority="65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66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67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68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6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7:K7">
    <cfRule type="colorScale" priority="6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8:K8">
    <cfRule type="colorScale" priority="6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9:K9">
    <cfRule type="colorScale" priority="6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0:K10">
    <cfRule type="colorScale" priority="6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1:K11">
    <cfRule type="colorScale" priority="6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2:K12">
    <cfRule type="colorScale" priority="5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3:K13">
    <cfRule type="colorScale" priority="58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4:K14">
    <cfRule type="colorScale" priority="5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5:K15">
    <cfRule type="colorScale" priority="56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6:K16">
    <cfRule type="colorScale" priority="5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7:K17">
    <cfRule type="colorScale" priority="5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8:K18">
    <cfRule type="colorScale" priority="5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9:K19">
    <cfRule type="colorScale" priority="5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2:K22">
    <cfRule type="colorScale" priority="4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23:K23">
    <cfRule type="colorScale" priority="4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24:K24">
    <cfRule type="colorScale" priority="3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6:K26">
    <cfRule type="colorScale" priority="3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7:K27">
    <cfRule type="colorScale" priority="3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25:K25">
    <cfRule type="colorScale" priority="3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39:K39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1:K41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2:K42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3:K43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4:K44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6:K46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7:K47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8:K48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9:K49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3:K53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4:K5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5:K55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7:K57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8:K58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9:K59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0:K60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2:K62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3:K63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hyperlinks>
    <hyperlink ref="M59" r:id="rId1" display="Description"/>
  </hyperlinks>
  <pageMargins left="0.98425196850393704" right="0.98425196850393704" top="0.78740157480314965" bottom="0.78740157480314965" header="0.51181102362204722" footer="0.51181102362204722"/>
  <pageSetup paperSize="9" scale="55" orientation="portrait" cellComments="atEnd" r:id="rId2"/>
  <rowBreaks count="1" manualBreakCount="1">
    <brk id="75" max="16383" man="1"/>
  </rowBreaks>
  <ignoredErrors>
    <ignoredError sqref="D50 D52" numberStoredAsText="1"/>
  </ignoredErrors>
  <drawing r:id="rId3"/>
  <legacyDrawing r:id="rId4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1000</vt:lpstr>
      <vt:lpstr>'1000'!Print_Area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cp:lastPrinted>2009-11-05T06:18:40Z</cp:lastPrinted>
  <dcterms:created xsi:type="dcterms:W3CDTF">2009-08-03T07:59:11Z</dcterms:created>
  <dcterms:modified xsi:type="dcterms:W3CDTF">2010-07-30T05:15:25Z</dcterms:modified>
</cp:coreProperties>
</file>