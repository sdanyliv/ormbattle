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480" yWindow="375" windowWidth="24495" windowHeight="11955"/>
  </bookViews>
  <sheets>
    <sheet name="1000" sheetId="1" r:id="rId1"/>
  </sheets>
  <definedNames>
    <definedName name="LargePageSize">'1000'!#REF!</definedName>
    <definedName name="_xlnm.Print_Area" localSheetId="0">'1000'!$A$1:$M$154</definedName>
    <definedName name="SmallPageSize">'1000'!#REF!</definedName>
  </definedNames>
  <calcPr calcId="125725" refMode="R1C1"/>
</workbook>
</file>

<file path=xl/calcChain.xml><?xml version="1.0" encoding="utf-8"?>
<calcChain xmlns="http://schemas.openxmlformats.org/spreadsheetml/2006/main">
  <c r="D49" i="1"/>
  <c r="D48"/>
  <c r="D47"/>
  <c r="D46"/>
  <c r="D44"/>
  <c r="D43"/>
  <c r="D42"/>
  <c r="D41"/>
  <c r="D39"/>
  <c r="D55"/>
  <c r="D63"/>
</calcChain>
</file>

<file path=xl/comments1.xml><?xml version="1.0" encoding="utf-8"?>
<comments xmlns="http://schemas.openxmlformats.org/spreadsheetml/2006/main">
  <authors>
    <author>Alex Yakunin</author>
  </authors>
  <commentList>
    <comment ref="G46" authorId="0">
      <text>
        <r>
          <rPr>
            <b/>
            <sz val="8"/>
            <color indexed="81"/>
            <rFont val="Tahoma"/>
            <family val="2"/>
            <charset val="204"/>
          </rPr>
          <t>Alex Yakunin:</t>
        </r>
        <r>
          <rPr>
            <sz val="8"/>
            <color indexed="81"/>
            <rFont val="Tahoma"/>
            <family val="2"/>
            <charset val="204"/>
          </rPr>
          <t xml:space="preserve">
Specialized API:
SqlQuery&lt;T&gt;.Insert(…, int batchSize, IEnumerable&lt;T&gt; sequence)</t>
        </r>
      </text>
    </comment>
    <comment ref="J46" authorId="0">
      <text>
        <r>
          <rPr>
            <b/>
            <sz val="8"/>
            <color indexed="81"/>
            <rFont val="Tahoma"/>
            <family val="2"/>
            <charset val="204"/>
          </rPr>
          <t>Alex Yakunin:</t>
        </r>
        <r>
          <rPr>
            <sz val="8"/>
            <color indexed="81"/>
            <rFont val="Tahoma"/>
            <family val="2"/>
            <charset val="204"/>
          </rPr>
          <t xml:space="preserve">
Specialized API: ISessionFactory.OpenStatelessSession is used in this test.</t>
        </r>
      </text>
    </comment>
    <comment ref="G47" authorId="0">
      <text>
        <r>
          <rPr>
            <b/>
            <sz val="8"/>
            <color indexed="81"/>
            <rFont val="Tahoma"/>
            <family val="2"/>
            <charset val="204"/>
          </rPr>
          <t>Alex Yakunin:</t>
        </r>
        <r>
          <rPr>
            <sz val="8"/>
            <color indexed="81"/>
            <rFont val="Tahoma"/>
            <family val="2"/>
            <charset val="204"/>
          </rPr>
          <t xml:space="preserve">
Specialized API:
SqlQuery&lt;T&gt;.Update(…, int batchSize, IEnumerable&lt;T&gt; sequence)</t>
        </r>
      </text>
    </comment>
    <comment ref="J47" authorId="0">
      <text>
        <r>
          <rPr>
            <b/>
            <sz val="8"/>
            <color indexed="81"/>
            <rFont val="Tahoma"/>
            <family val="2"/>
            <charset val="204"/>
          </rPr>
          <t>Alex Yakunin:</t>
        </r>
        <r>
          <rPr>
            <sz val="8"/>
            <color indexed="81"/>
            <rFont val="Tahoma"/>
            <family val="2"/>
            <charset val="204"/>
          </rPr>
          <t xml:space="preserve">
Specialized API: ISessionFactory.OpenStatelessSession is used in this test.</t>
        </r>
      </text>
    </comment>
    <comment ref="G48" authorId="0">
      <text>
        <r>
          <rPr>
            <b/>
            <sz val="8"/>
            <color indexed="81"/>
            <rFont val="Tahoma"/>
            <family val="2"/>
            <charset val="204"/>
          </rPr>
          <t>Alex Yakunin:</t>
        </r>
        <r>
          <rPr>
            <sz val="8"/>
            <color indexed="81"/>
            <rFont val="Tahoma"/>
            <family val="2"/>
            <charset val="204"/>
          </rPr>
          <t xml:space="preserve">
Specialized API:
SqlQuery&lt;T&gt;.Delete(…, int batchSize, IEnumerable&lt;T&gt; sequence)</t>
        </r>
      </text>
    </comment>
    <comment ref="J48" authorId="0">
      <text>
        <r>
          <rPr>
            <b/>
            <sz val="8"/>
            <color indexed="81"/>
            <rFont val="Tahoma"/>
            <family val="2"/>
            <charset val="204"/>
          </rPr>
          <t>Alex Yakunin:</t>
        </r>
        <r>
          <rPr>
            <sz val="8"/>
            <color indexed="81"/>
            <rFont val="Tahoma"/>
            <family val="2"/>
            <charset val="204"/>
          </rPr>
          <t xml:space="preserve">
Specialized API: ISessionFactory.OpenStatelessSession is used in this test.</t>
        </r>
      </text>
    </comment>
    <comment ref="J54" authorId="0">
      <text>
        <r>
          <rPr>
            <b/>
            <sz val="8"/>
            <color indexed="81"/>
            <rFont val="Tahoma"/>
            <family val="2"/>
            <charset val="204"/>
          </rPr>
          <t>Alex Yakunin:</t>
        </r>
        <r>
          <rPr>
            <sz val="8"/>
            <color indexed="81"/>
            <rFont val="Tahoma"/>
            <family val="2"/>
            <charset val="204"/>
          </rPr>
          <t xml:space="preserve">
Complied queries are not supported, result is copied from above cell.</t>
        </r>
      </text>
    </comment>
    <comment ref="L54" authorId="0">
      <text>
        <r>
          <rPr>
            <b/>
            <sz val="8"/>
            <color indexed="81"/>
            <rFont val="Tahoma"/>
            <family val="2"/>
            <charset val="204"/>
          </rPr>
          <t>Alex Yakunin:</t>
        </r>
        <r>
          <rPr>
            <sz val="8"/>
            <color indexed="81"/>
            <rFont val="Tahoma"/>
            <family val="2"/>
            <charset val="204"/>
          </rPr>
          <t xml:space="preserve">
Complied queries are not supported, result is copied from above cell.</t>
        </r>
      </text>
    </comment>
    <comment ref="F55" authorId="0">
      <text>
        <r>
          <rPr>
            <b/>
            <sz val="8"/>
            <color indexed="81"/>
            <rFont val="Tahoma"/>
            <family val="2"/>
            <charset val="204"/>
          </rPr>
          <t>Alex Yakunin:</t>
        </r>
        <r>
          <rPr>
            <sz val="8"/>
            <color indexed="81"/>
            <rFont val="Tahoma"/>
            <family val="2"/>
            <charset val="204"/>
          </rPr>
          <t xml:space="preserve">
No native queries, result is copied from above cell.</t>
        </r>
      </text>
    </comment>
  </commentList>
</comments>
</file>

<file path=xl/sharedStrings.xml><?xml version="1.0" encoding="utf-8"?>
<sst xmlns="http://schemas.openxmlformats.org/spreadsheetml/2006/main" count="199" uniqueCount="90">
  <si>
    <t>SqlClient</t>
  </si>
  <si>
    <t>OpenAccess</t>
  </si>
  <si>
    <t>Color bar</t>
  </si>
  <si>
    <t>Test name</t>
  </si>
  <si>
    <t>Subsonic</t>
  </si>
  <si>
    <t>Runtime libraries (.dlls)</t>
  </si>
  <si>
    <t>Result charts, page 1:</t>
  </si>
  <si>
    <t>File sizes (in bytes):</t>
  </si>
  <si>
    <t>n/a</t>
  </si>
  <si>
    <t>Larger = better!</t>
  </si>
  <si>
    <t>NHibernate</t>
  </si>
  <si>
    <t>Best result</t>
  </si>
  <si>
    <t>1000 item sequence</t>
  </si>
  <si>
    <t>BLToolkit</t>
  </si>
  <si>
    <t>Unit</t>
  </si>
  <si>
    <t xml:space="preserve">  Aggregates</t>
  </si>
  <si>
    <t>f,a</t>
  </si>
  <si>
    <t xml:space="preserve">  All/Any/Contains</t>
  </si>
  <si>
    <t xml:space="preserve">  Complex</t>
  </si>
  <si>
    <t xml:space="preserve">  Element operations</t>
  </si>
  <si>
    <t xml:space="preserve">  Filtering</t>
  </si>
  <si>
    <t xml:space="preserve">  Grouping</t>
  </si>
  <si>
    <t xml:space="preserve">  Join</t>
  </si>
  <si>
    <t xml:space="preserve">  Ordering</t>
  </si>
  <si>
    <t xml:space="preserve">  Projections</t>
  </si>
  <si>
    <t xml:space="preserve">  References</t>
  </si>
  <si>
    <t xml:space="preserve">  Set operations</t>
  </si>
  <si>
    <t xml:space="preserve">  Standard functions</t>
  </si>
  <si>
    <t xml:space="preserve">  Take/Skip</t>
  </si>
  <si>
    <t xml:space="preserve">  Type casts</t>
  </si>
  <si>
    <t xml:space="preserve">  Performed</t>
  </si>
  <si>
    <t>#</t>
  </si>
  <si>
    <t xml:space="preserve">  Passed</t>
  </si>
  <si>
    <t xml:space="preserve">  Failed</t>
  </si>
  <si>
    <t xml:space="preserve">    Properly</t>
  </si>
  <si>
    <t xml:space="preserve">    Asserted</t>
  </si>
  <si>
    <t xml:space="preserve">  Score</t>
  </si>
  <si>
    <t>%</t>
  </si>
  <si>
    <t>Minimum</t>
  </si>
  <si>
    <t>Maximum</t>
  </si>
  <si>
    <t>CRUD Performance:</t>
  </si>
  <si>
    <t xml:space="preserve">  Fetch</t>
  </si>
  <si>
    <t>op/s</t>
  </si>
  <si>
    <t xml:space="preserve">  Single Operation:</t>
  </si>
  <si>
    <t xml:space="preserve">    Create Instance</t>
  </si>
  <si>
    <t xml:space="preserve">    Update Instance</t>
  </si>
  <si>
    <t xml:space="preserve">    Remove Instance</t>
  </si>
  <si>
    <t xml:space="preserve">    CUD Average</t>
  </si>
  <si>
    <t xml:space="preserve">  Multiple Operations:</t>
  </si>
  <si>
    <t>Data Access Performance:</t>
  </si>
  <si>
    <t xml:space="preserve">  Query:</t>
  </si>
  <si>
    <t xml:space="preserve">    LINQ Query</t>
  </si>
  <si>
    <t>queries/s</t>
  </si>
  <si>
    <t xml:space="preserve">    Compiled LINQ Query</t>
  </si>
  <si>
    <t xml:space="preserve">    Native Query</t>
  </si>
  <si>
    <t xml:space="preserve">  Paging (LINQ only):</t>
  </si>
  <si>
    <t xml:space="preserve">    Get Small Page   (10 items)</t>
  </si>
  <si>
    <t>pages/s</t>
  </si>
  <si>
    <t xml:space="preserve">    Get Average Page (20 items)</t>
  </si>
  <si>
    <t xml:space="preserve">    Get Large Page   (50 items)</t>
  </si>
  <si>
    <t xml:space="preserve">    Get Huge Page    (100 items)</t>
  </si>
  <si>
    <t xml:space="preserve">  Materialization:</t>
  </si>
  <si>
    <t xml:space="preserve">    LINQ Materialize</t>
  </si>
  <si>
    <t>objects/s</t>
  </si>
  <si>
    <t xml:space="preserve">    Native Materialize</t>
  </si>
  <si>
    <t>LINQ Implementation total:</t>
  </si>
  <si>
    <t>Entity Framework</t>
  </si>
  <si>
    <t>Units:</t>
  </si>
  <si>
    <t xml:space="preserve">  f/a</t>
  </si>
  <si>
    <t xml:space="preserve">  #</t>
  </si>
  <si>
    <t xml:space="preserve">  %</t>
  </si>
  <si>
    <t xml:space="preserve">  op/s</t>
  </si>
  <si>
    <t xml:space="preserve">  queries/s</t>
  </si>
  <si>
    <t xml:space="preserve">  pages/s</t>
  </si>
  <si>
    <t xml:space="preserve">  objects/s</t>
  </si>
  <si>
    <t>count</t>
  </si>
  <si>
    <t>percentage (% of passed tests), more is better</t>
  </si>
  <si>
    <t>operations per second, more is better</t>
  </si>
  <si>
    <t>queries per second, more is better</t>
  </si>
  <si>
    <t>pages per second, more is better</t>
  </si>
  <si>
    <t># of materialized objects per second, more is better</t>
  </si>
  <si>
    <t>LINQ implementation</t>
  </si>
  <si>
    <t>LINQ to SQL</t>
  </si>
  <si>
    <t>DataObjects.Net</t>
  </si>
  <si>
    <t>total count of failed tests [, count of tests failed with assertion ], less is better (0 is ideal)</t>
  </si>
  <si>
    <t>bytes</t>
  </si>
  <si>
    <t>Worst result</t>
  </si>
  <si>
    <t>LinqConnect</t>
  </si>
  <si>
    <t>ORMeter.NET test results</t>
  </si>
  <si>
    <r>
      <t xml:space="preserve">Visit </t>
    </r>
    <r>
      <rPr>
        <u/>
        <sz val="11"/>
        <color theme="4" tint="-0.249977111117893"/>
        <rFont val="Calibri"/>
        <family val="2"/>
        <charset val="204"/>
        <scheme val="minor"/>
      </rPr>
      <t>http://ormeter.net</t>
    </r>
    <r>
      <rPr>
        <sz val="11"/>
        <color theme="1"/>
        <rFont val="Calibri"/>
        <family val="2"/>
        <charset val="204"/>
        <scheme val="minor"/>
      </rPr>
      <t xml:space="preserve"> for details</t>
    </r>
  </si>
</sst>
</file>

<file path=xl/styles.xml><?xml version="1.0" encoding="utf-8"?>
<styleSheet xmlns="http://schemas.openxmlformats.org/spreadsheetml/2006/main">
  <fonts count="28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8"/>
      <color theme="3"/>
      <name val="Cambria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b/>
      <sz val="28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u/>
      <sz val="11"/>
      <color theme="4" tint="-0.249977111117893"/>
      <name val="Calibri"/>
      <family val="2"/>
      <charset val="204"/>
      <scheme val="minor"/>
    </font>
    <font>
      <u/>
      <sz val="11"/>
      <color theme="10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  <font>
      <sz val="8"/>
      <color indexed="81"/>
      <name val="Tahoma"/>
      <family val="2"/>
      <charset val="204"/>
    </font>
    <font>
      <b/>
      <sz val="8"/>
      <color indexed="81"/>
      <name val="Tahoma"/>
      <family val="2"/>
      <charset val="204"/>
    </font>
  </fonts>
  <fills count="4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6" tint="0.79998168889431442"/>
      </patternFill>
    </fill>
    <fill>
      <patternFill patternType="solid">
        <fgColor theme="2" tint="-9.9978637043366805E-2"/>
        <bgColor theme="6" tint="0.79998168889431442"/>
      </patternFill>
    </fill>
    <fill>
      <gradientFill>
        <stop position="0">
          <color rgb="FFFDD17F"/>
        </stop>
        <stop position="1">
          <color rgb="FFFFEB84"/>
        </stop>
      </gradientFill>
    </fill>
    <fill>
      <gradientFill>
        <stop position="0">
          <color rgb="FFFFEB84"/>
        </stop>
        <stop position="1">
          <color rgb="FFE0E383"/>
        </stop>
      </gradientFill>
    </fill>
    <fill>
      <gradientFill>
        <stop position="0">
          <color rgb="FFE0E383"/>
        </stop>
        <stop position="1">
          <color rgb="FF92CC7E"/>
        </stop>
      </gradientFill>
    </fill>
    <fill>
      <gradientFill>
        <stop position="0">
          <color rgb="FF92CC7E"/>
        </stop>
        <stop position="1">
          <color rgb="FF63BE7B"/>
        </stop>
      </gradientFill>
    </fill>
    <fill>
      <patternFill patternType="solid">
        <fgColor theme="6"/>
        <bgColor theme="6"/>
      </patternFill>
    </fill>
    <fill>
      <gradientFill>
        <stop position="0">
          <color rgb="FFFA9072"/>
        </stop>
        <stop position="1">
          <color rgb="FFFDD17F"/>
        </stop>
      </gradientFill>
    </fill>
    <fill>
      <patternFill patternType="solid">
        <fgColor theme="0" tint="-4.9989318521683403E-2"/>
        <bgColor indexed="64"/>
      </patternFill>
    </fill>
    <fill>
      <gradientFill>
        <stop position="0">
          <color rgb="FFF8696B"/>
        </stop>
        <stop position="1">
          <color rgb="FFFA9072"/>
        </stop>
      </gradientFill>
    </fill>
    <fill>
      <patternFill patternType="solid">
        <fgColor rgb="FFF8696B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theme="6" tint="0.39997558519241921"/>
      </top>
      <bottom style="thin">
        <color theme="6" tint="0.39997558519241921"/>
      </bottom>
      <diagonal/>
    </border>
    <border>
      <left style="thin">
        <color theme="6" tint="0.39997558519241921"/>
      </left>
      <right/>
      <top style="thin">
        <color theme="6" tint="0.39997558519241921"/>
      </top>
      <bottom style="thin">
        <color theme="6" tint="0.39997558519241921"/>
      </bottom>
      <diagonal/>
    </border>
    <border>
      <left/>
      <right style="thin">
        <color theme="6" tint="0.39997558519241921"/>
      </right>
      <top style="thin">
        <color theme="6" tint="0.39997558519241921"/>
      </top>
      <bottom style="thin">
        <color theme="6" tint="0.39997558519241921"/>
      </bottom>
      <diagonal/>
    </border>
    <border>
      <left/>
      <right/>
      <top/>
      <bottom style="thin">
        <color theme="6" tint="0.39997558519241921"/>
      </bottom>
      <diagonal/>
    </border>
    <border>
      <left/>
      <right style="thin">
        <color theme="6" tint="0.39997558519241921"/>
      </right>
      <top/>
      <bottom style="thin">
        <color theme="6" tint="0.39997558519241921"/>
      </bottom>
      <diagonal/>
    </border>
    <border>
      <left/>
      <right/>
      <top style="thin">
        <color rgb="FFC2D69A"/>
      </top>
      <bottom style="thin">
        <color rgb="FFC2D69A"/>
      </bottom>
      <diagonal/>
    </border>
    <border>
      <left style="thin">
        <color theme="6" tint="0.39997558519241921"/>
      </left>
      <right style="thin">
        <color theme="6" tint="0.39994506668294322"/>
      </right>
      <top style="thin">
        <color theme="6" tint="0.39997558519241921"/>
      </top>
      <bottom style="thin">
        <color theme="6" tint="0.3999755851924192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/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22" fillId="0" borderId="0" applyNumberFormat="0" applyFill="0" applyBorder="0" applyAlignment="0" applyProtection="0">
      <alignment vertical="top"/>
      <protection locked="0"/>
    </xf>
  </cellStyleXfs>
  <cellXfs count="81">
    <xf numFmtId="0" fontId="0" fillId="0" borderId="0" xfId="0"/>
    <xf numFmtId="49" fontId="0" fillId="0" borderId="0" xfId="0" applyNumberFormat="1"/>
    <xf numFmtId="0" fontId="16" fillId="0" borderId="0" xfId="0" applyFont="1"/>
    <xf numFmtId="1" fontId="16" fillId="34" borderId="0" xfId="0" applyNumberFormat="1" applyFont="1" applyFill="1"/>
    <xf numFmtId="49" fontId="16" fillId="35" borderId="0" xfId="0" applyNumberFormat="1" applyFont="1" applyFill="1" applyAlignment="1">
      <alignment horizontal="left"/>
    </xf>
    <xf numFmtId="1" fontId="16" fillId="35" borderId="0" xfId="0" applyNumberFormat="1" applyFont="1" applyFill="1"/>
    <xf numFmtId="49" fontId="16" fillId="0" borderId="0" xfId="0" applyNumberFormat="1" applyFont="1" applyBorder="1" applyAlignment="1">
      <alignment horizontal="left"/>
    </xf>
    <xf numFmtId="49" fontId="16" fillId="34" borderId="0" xfId="0" applyNumberFormat="1" applyFont="1" applyFill="1" applyAlignment="1">
      <alignment horizontal="left"/>
    </xf>
    <xf numFmtId="0" fontId="18" fillId="0" borderId="0" xfId="0" applyFont="1"/>
    <xf numFmtId="49" fontId="19" fillId="0" borderId="0" xfId="0" applyNumberFormat="1" applyFont="1" applyAlignment="1">
      <alignment horizontal="left"/>
    </xf>
    <xf numFmtId="0" fontId="20" fillId="0" borderId="0" xfId="0" applyFont="1"/>
    <xf numFmtId="0" fontId="0" fillId="0" borderId="0" xfId="0" applyAlignment="1">
      <alignment vertical="top"/>
    </xf>
    <xf numFmtId="3" fontId="0" fillId="33" borderId="10" xfId="0" applyNumberFormat="1" applyFont="1" applyFill="1" applyBorder="1"/>
    <xf numFmtId="3" fontId="0" fillId="36" borderId="0" xfId="0" applyNumberFormat="1" applyFont="1" applyFill="1" applyBorder="1"/>
    <xf numFmtId="49" fontId="16" fillId="34" borderId="11" xfId="0" applyNumberFormat="1" applyFont="1" applyFill="1" applyBorder="1" applyAlignment="1">
      <alignment horizontal="left"/>
    </xf>
    <xf numFmtId="49" fontId="0" fillId="0" borderId="0" xfId="0" applyNumberFormat="1" applyAlignment="1">
      <alignment horizontal="center" textRotation="90"/>
    </xf>
    <xf numFmtId="49" fontId="16" fillId="0" borderId="0" xfId="0" applyNumberFormat="1" applyFont="1" applyAlignment="1">
      <alignment horizontal="center" textRotation="90"/>
    </xf>
    <xf numFmtId="3" fontId="0" fillId="33" borderId="13" xfId="0" applyNumberFormat="1" applyFont="1" applyFill="1" applyBorder="1"/>
    <xf numFmtId="3" fontId="0" fillId="33" borderId="14" xfId="0" applyNumberFormat="1" applyFont="1" applyFill="1" applyBorder="1"/>
    <xf numFmtId="3" fontId="0" fillId="34" borderId="13" xfId="0" applyNumberFormat="1" applyFont="1" applyFill="1" applyBorder="1"/>
    <xf numFmtId="3" fontId="22" fillId="37" borderId="0" xfId="42" applyNumberFormat="1" applyFont="1" applyFill="1" applyBorder="1" applyAlignment="1" applyProtection="1">
      <alignment horizontal="right"/>
    </xf>
    <xf numFmtId="1" fontId="16" fillId="34" borderId="0" xfId="0" applyNumberFormat="1" applyFont="1" applyFill="1" applyAlignment="1">
      <alignment horizontal="right"/>
    </xf>
    <xf numFmtId="9" fontId="0" fillId="38" borderId="10" xfId="0" applyNumberFormat="1" applyFont="1" applyFill="1" applyBorder="1"/>
    <xf numFmtId="9" fontId="0" fillId="40" borderId="10" xfId="0" applyNumberFormat="1" applyFont="1" applyFill="1" applyBorder="1"/>
    <xf numFmtId="9" fontId="0" fillId="39" borderId="10" xfId="0" applyNumberFormat="1" applyFill="1" applyBorder="1" applyAlignment="1"/>
    <xf numFmtId="0" fontId="0" fillId="0" borderId="0" xfId="0" applyAlignment="1">
      <alignment vertical="top" wrapText="1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0" xfId="0" applyAlignment="1">
      <alignment vertical="top"/>
    </xf>
    <xf numFmtId="0" fontId="0" fillId="0" borderId="0" xfId="0"/>
    <xf numFmtId="9" fontId="23" fillId="43" borderId="15" xfId="0" applyNumberFormat="1" applyFont="1" applyFill="1" applyBorder="1"/>
    <xf numFmtId="9" fontId="16" fillId="41" borderId="10" xfId="0" applyNumberFormat="1" applyFont="1" applyFill="1" applyBorder="1" applyAlignment="1">
      <alignment horizontal="right"/>
    </xf>
    <xf numFmtId="0" fontId="0" fillId="0" borderId="0" xfId="0" applyAlignment="1">
      <alignment vertical="top" wrapText="1"/>
    </xf>
    <xf numFmtId="0" fontId="0" fillId="0" borderId="0" xfId="0" applyAlignment="1">
      <alignment vertical="top"/>
    </xf>
    <xf numFmtId="49" fontId="13" fillId="42" borderId="11" xfId="0" applyNumberFormat="1" applyFont="1" applyFill="1" applyBorder="1" applyAlignment="1">
      <alignment horizontal="right"/>
    </xf>
    <xf numFmtId="49" fontId="13" fillId="42" borderId="10" xfId="0" applyNumberFormat="1" applyFont="1" applyFill="1" applyBorder="1" applyAlignment="1">
      <alignment horizontal="right"/>
    </xf>
    <xf numFmtId="3" fontId="0" fillId="34" borderId="0" xfId="0" applyNumberFormat="1" applyFont="1" applyFill="1" applyBorder="1"/>
    <xf numFmtId="3" fontId="0" fillId="34" borderId="0" xfId="0" applyNumberFormat="1" applyFill="1"/>
    <xf numFmtId="1" fontId="0" fillId="0" borderId="0" xfId="0" applyNumberFormat="1" applyFont="1"/>
    <xf numFmtId="49" fontId="16" fillId="0" borderId="0" xfId="0" applyNumberFormat="1" applyFont="1"/>
    <xf numFmtId="0" fontId="0" fillId="0" borderId="0" xfId="0" applyAlignment="1">
      <alignment horizontal="right"/>
    </xf>
    <xf numFmtId="49" fontId="0" fillId="0" borderId="0" xfId="0" applyNumberFormat="1" applyFill="1"/>
    <xf numFmtId="49" fontId="16" fillId="35" borderId="0" xfId="0" applyNumberFormat="1" applyFont="1" applyFill="1" applyAlignment="1">
      <alignment horizontal="right"/>
    </xf>
    <xf numFmtId="3" fontId="22" fillId="34" borderId="0" xfId="42" applyNumberFormat="1" applyFont="1" applyFill="1" applyBorder="1" applyAlignment="1" applyProtection="1">
      <alignment horizontal="right"/>
    </xf>
    <xf numFmtId="0" fontId="0" fillId="34" borderId="0" xfId="0" applyNumberFormat="1" applyFill="1"/>
    <xf numFmtId="49" fontId="17" fillId="0" borderId="0" xfId="0" applyNumberFormat="1" applyFont="1" applyFill="1"/>
    <xf numFmtId="0" fontId="0" fillId="34" borderId="0" xfId="0" applyFill="1" applyAlignment="1">
      <alignment horizontal="right"/>
    </xf>
    <xf numFmtId="49" fontId="13" fillId="44" borderId="0" xfId="0" applyNumberFormat="1" applyFont="1" applyFill="1" applyAlignment="1">
      <alignment horizontal="left"/>
    </xf>
    <xf numFmtId="3" fontId="13" fillId="44" borderId="0" xfId="0" applyNumberFormat="1" applyFont="1" applyFill="1"/>
    <xf numFmtId="1" fontId="17" fillId="44" borderId="13" xfId="0" applyNumberFormat="1" applyFont="1" applyFill="1" applyBorder="1"/>
    <xf numFmtId="3" fontId="24" fillId="34" borderId="0" xfId="0" applyNumberFormat="1" applyFont="1" applyFill="1" applyAlignment="1">
      <alignment horizontal="right"/>
    </xf>
    <xf numFmtId="3" fontId="24" fillId="34" borderId="0" xfId="0" applyNumberFormat="1" applyFont="1" applyFill="1"/>
    <xf numFmtId="0" fontId="24" fillId="34" borderId="0" xfId="0" applyNumberFormat="1" applyFont="1" applyFill="1" applyAlignment="1">
      <alignment horizontal="right"/>
    </xf>
    <xf numFmtId="1" fontId="0" fillId="0" borderId="0" xfId="0" applyNumberFormat="1" applyFont="1" applyBorder="1"/>
    <xf numFmtId="0" fontId="0" fillId="0" borderId="0" xfId="0" applyBorder="1"/>
    <xf numFmtId="49" fontId="13" fillId="42" borderId="10" xfId="0" applyNumberFormat="1" applyFont="1" applyFill="1" applyBorder="1" applyAlignment="1">
      <alignment horizontal="right" textRotation="90"/>
    </xf>
    <xf numFmtId="49" fontId="13" fillId="42" borderId="10" xfId="0" applyNumberFormat="1" applyFont="1" applyFill="1" applyBorder="1" applyAlignment="1">
      <alignment horizontal="left"/>
    </xf>
    <xf numFmtId="0" fontId="16" fillId="34" borderId="0" xfId="0" applyFont="1" applyFill="1" applyAlignment="1">
      <alignment horizontal="right"/>
    </xf>
    <xf numFmtId="0" fontId="25" fillId="34" borderId="0" xfId="0" applyNumberFormat="1" applyFont="1" applyFill="1" applyAlignment="1">
      <alignment horizontal="right"/>
    </xf>
    <xf numFmtId="3" fontId="25" fillId="34" borderId="0" xfId="0" applyNumberFormat="1" applyFont="1" applyFill="1" applyAlignment="1">
      <alignment horizontal="right"/>
    </xf>
    <xf numFmtId="1" fontId="0" fillId="0" borderId="0" xfId="0" applyNumberFormat="1" applyBorder="1"/>
    <xf numFmtId="3" fontId="16" fillId="34" borderId="0" xfId="0" applyNumberFormat="1" applyFont="1" applyFill="1" applyAlignment="1">
      <alignment horizontal="right"/>
    </xf>
    <xf numFmtId="3" fontId="0" fillId="33" borderId="12" xfId="0" applyNumberFormat="1" applyFill="1" applyBorder="1" applyAlignment="1">
      <alignment horizontal="right"/>
    </xf>
    <xf numFmtId="49" fontId="13" fillId="42" borderId="16" xfId="0" applyNumberFormat="1" applyFont="1" applyFill="1" applyBorder="1" applyAlignment="1">
      <alignment horizontal="right"/>
    </xf>
    <xf numFmtId="9" fontId="16" fillId="45" borderId="0" xfId="0" applyNumberFormat="1" applyFont="1" applyFill="1" applyBorder="1"/>
    <xf numFmtId="3" fontId="0" fillId="33" borderId="13" xfId="0" applyNumberFormat="1" applyFill="1" applyBorder="1" applyAlignment="1">
      <alignment horizontal="right"/>
    </xf>
    <xf numFmtId="3" fontId="16" fillId="34" borderId="0" xfId="0" applyNumberFormat="1" applyFont="1" applyFill="1" applyAlignment="1">
      <alignment horizontal="left"/>
    </xf>
    <xf numFmtId="3" fontId="0" fillId="46" borderId="0" xfId="0" applyNumberFormat="1" applyFill="1"/>
    <xf numFmtId="3" fontId="24" fillId="46" borderId="0" xfId="0" applyNumberFormat="1" applyFont="1" applyFill="1"/>
    <xf numFmtId="3" fontId="0" fillId="0" borderId="0" xfId="0" applyNumberFormat="1"/>
    <xf numFmtId="3" fontId="0" fillId="0" borderId="17" xfId="0" applyNumberFormat="1" applyBorder="1"/>
    <xf numFmtId="3" fontId="0" fillId="0" borderId="18" xfId="0" applyNumberFormat="1" applyBorder="1"/>
    <xf numFmtId="3" fontId="0" fillId="0" borderId="0" xfId="0" applyNumberFormat="1" applyAlignment="1">
      <alignment horizontal="right"/>
    </xf>
    <xf numFmtId="0" fontId="16" fillId="34" borderId="0" xfId="0" applyNumberFormat="1" applyFont="1" applyFill="1" applyAlignment="1">
      <alignment horizontal="right"/>
    </xf>
    <xf numFmtId="0" fontId="17" fillId="0" borderId="0" xfId="0" applyNumberFormat="1" applyFont="1" applyFill="1" applyAlignment="1">
      <alignment horizontal="right"/>
    </xf>
    <xf numFmtId="0" fontId="13" fillId="44" borderId="0" xfId="0" applyNumberFormat="1" applyFont="1" applyFill="1" applyAlignment="1">
      <alignment horizontal="left"/>
    </xf>
    <xf numFmtId="0" fontId="16" fillId="34" borderId="0" xfId="0" applyNumberFormat="1" applyFont="1" applyFill="1" applyAlignment="1">
      <alignment horizontal="left"/>
    </xf>
    <xf numFmtId="0" fontId="0" fillId="0" borderId="0" xfId="0" applyNumberFormat="1" applyFill="1" applyAlignment="1">
      <alignment horizontal="right"/>
    </xf>
    <xf numFmtId="3" fontId="0" fillId="0" borderId="0" xfId="0" applyNumberFormat="1" applyFont="1" applyBorder="1"/>
    <xf numFmtId="3" fontId="0" fillId="0" borderId="0" xfId="0" applyNumberFormat="1" applyFont="1" applyBorder="1" applyAlignment="1">
      <alignment horizontal="right"/>
    </xf>
    <xf numFmtId="3" fontId="0" fillId="0" borderId="0" xfId="0" applyNumberFormat="1" applyBorder="1" applyAlignment="1">
      <alignment horizontal="right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67"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fill>
        <patternFill patternType="solid">
          <fgColor indexed="64"/>
          <bgColor theme="2" tint="-9.9978637043366805E-2"/>
        </patternFill>
      </fill>
      <alignment horizontal="right" vertical="bottom" textRotation="0" wrapText="0" indent="0" relativeIndent="0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left" vertical="bottom" textRotation="0" wrapText="0" indent="0" relativeIndent="255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  <colors>
    <mruColors>
      <color rgb="FFF8696B"/>
      <color rgb="FF63BE7B"/>
      <color rgb="FF92CC7E"/>
      <color rgb="FFFFEB84"/>
      <color rgb="FFE0E383"/>
      <color rgb="FFFDD17F"/>
      <color rgb="FFFA9072"/>
    </mru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style val="18"/>
  <c:chart>
    <c:title>
      <c:tx>
        <c:rich>
          <a:bodyPr/>
          <a:lstStyle/>
          <a:p>
            <a:pPr>
              <a:defRPr/>
            </a:pPr>
            <a:r>
              <a:rPr lang="en-US"/>
              <a:t>CUD Single</a:t>
            </a:r>
            <a:br>
              <a:rPr lang="en-US"/>
            </a:br>
            <a:r>
              <a:rPr lang="en-US" sz="1400" b="0" i="0" u="none" strike="noStrike" baseline="0"/>
              <a:t># of objects per second</a:t>
            </a:r>
            <a:endParaRPr lang="en-US"/>
          </a:p>
        </c:rich>
      </c:tx>
      <c:layout/>
    </c:title>
    <c:plotArea>
      <c:layout/>
      <c:barChart>
        <c:barDir val="bar"/>
        <c:grouping val="clustered"/>
        <c:ser>
          <c:idx val="3"/>
          <c:order val="0"/>
          <c:tx>
            <c:strRef>
              <c:f>'1000'!$A$44</c:f>
              <c:strCache>
                <c:ptCount val="1"/>
                <c:pt idx="0">
                  <c:v>    CUD Average</c:v>
                </c:pt>
              </c:strCache>
            </c:strRef>
          </c:tx>
          <c:cat>
            <c:strRef>
              <c:f>'1000'!$E$4:$L$4</c:f>
              <c:strCache>
                <c:ptCount val="8"/>
                <c:pt idx="0">
                  <c:v>Entity Framework</c:v>
                </c:pt>
                <c:pt idx="1">
                  <c:v>LINQ to SQL</c:v>
                </c:pt>
                <c:pt idx="2">
                  <c:v>BLToolkit</c:v>
                </c:pt>
                <c:pt idx="3">
                  <c:v>DataObjects.Net</c:v>
                </c:pt>
                <c:pt idx="4">
                  <c:v>LinqConnect</c:v>
                </c:pt>
                <c:pt idx="5">
                  <c:v>NHibernate</c:v>
                </c:pt>
                <c:pt idx="6">
                  <c:v>OpenAccess</c:v>
                </c:pt>
                <c:pt idx="7">
                  <c:v>Subsonic</c:v>
                </c:pt>
              </c:strCache>
            </c:strRef>
          </c:cat>
          <c:val>
            <c:numRef>
              <c:f>'1000'!$E$44:$L$44</c:f>
              <c:numCache>
                <c:formatCode>#,##0</c:formatCode>
                <c:ptCount val="8"/>
                <c:pt idx="0">
                  <c:v>4105</c:v>
                </c:pt>
                <c:pt idx="1">
                  <c:v>2163</c:v>
                </c:pt>
                <c:pt idx="2">
                  <c:v>10986</c:v>
                </c:pt>
                <c:pt idx="3">
                  <c:v>8036</c:v>
                </c:pt>
                <c:pt idx="4">
                  <c:v>9853</c:v>
                </c:pt>
                <c:pt idx="5">
                  <c:v>1148</c:v>
                </c:pt>
                <c:pt idx="6">
                  <c:v>8972</c:v>
                </c:pt>
                <c:pt idx="7">
                  <c:v>3602</c:v>
                </c:pt>
              </c:numCache>
            </c:numRef>
          </c:val>
        </c:ser>
        <c:ser>
          <c:idx val="2"/>
          <c:order val="1"/>
          <c:tx>
            <c:strRef>
              <c:f>'1000'!$A$43</c:f>
              <c:strCache>
                <c:ptCount val="1"/>
                <c:pt idx="0">
                  <c:v>    Remove Instance</c:v>
                </c:pt>
              </c:strCache>
            </c:strRef>
          </c:tx>
          <c:cat>
            <c:strRef>
              <c:f>'1000'!$E$4:$L$4</c:f>
              <c:strCache>
                <c:ptCount val="8"/>
                <c:pt idx="0">
                  <c:v>Entity Framework</c:v>
                </c:pt>
                <c:pt idx="1">
                  <c:v>LINQ to SQL</c:v>
                </c:pt>
                <c:pt idx="2">
                  <c:v>BLToolkit</c:v>
                </c:pt>
                <c:pt idx="3">
                  <c:v>DataObjects.Net</c:v>
                </c:pt>
                <c:pt idx="4">
                  <c:v>LinqConnect</c:v>
                </c:pt>
                <c:pt idx="5">
                  <c:v>NHibernate</c:v>
                </c:pt>
                <c:pt idx="6">
                  <c:v>OpenAccess</c:v>
                </c:pt>
                <c:pt idx="7">
                  <c:v>Subsonic</c:v>
                </c:pt>
              </c:strCache>
            </c:strRef>
          </c:cat>
          <c:val>
            <c:numRef>
              <c:f>'1000'!$E$43:$L$43</c:f>
              <c:numCache>
                <c:formatCode>#,##0</c:formatCode>
                <c:ptCount val="8"/>
                <c:pt idx="0">
                  <c:v>4781</c:v>
                </c:pt>
                <c:pt idx="1">
                  <c:v>1950</c:v>
                </c:pt>
                <c:pt idx="2">
                  <c:v>11193</c:v>
                </c:pt>
                <c:pt idx="3">
                  <c:v>9144</c:v>
                </c:pt>
                <c:pt idx="4">
                  <c:v>11130</c:v>
                </c:pt>
                <c:pt idx="5">
                  <c:v>1149</c:v>
                </c:pt>
                <c:pt idx="6">
                  <c:v>9870</c:v>
                </c:pt>
                <c:pt idx="7">
                  <c:v>4004</c:v>
                </c:pt>
              </c:numCache>
            </c:numRef>
          </c:val>
        </c:ser>
        <c:ser>
          <c:idx val="1"/>
          <c:order val="2"/>
          <c:tx>
            <c:strRef>
              <c:f>'1000'!$A$42</c:f>
              <c:strCache>
                <c:ptCount val="1"/>
                <c:pt idx="0">
                  <c:v>    Update Instance</c:v>
                </c:pt>
              </c:strCache>
            </c:strRef>
          </c:tx>
          <c:cat>
            <c:strRef>
              <c:f>'1000'!$E$4:$L$4</c:f>
              <c:strCache>
                <c:ptCount val="8"/>
                <c:pt idx="0">
                  <c:v>Entity Framework</c:v>
                </c:pt>
                <c:pt idx="1">
                  <c:v>LINQ to SQL</c:v>
                </c:pt>
                <c:pt idx="2">
                  <c:v>BLToolkit</c:v>
                </c:pt>
                <c:pt idx="3">
                  <c:v>DataObjects.Net</c:v>
                </c:pt>
                <c:pt idx="4">
                  <c:v>LinqConnect</c:v>
                </c:pt>
                <c:pt idx="5">
                  <c:v>NHibernate</c:v>
                </c:pt>
                <c:pt idx="6">
                  <c:v>OpenAccess</c:v>
                </c:pt>
                <c:pt idx="7">
                  <c:v>Subsonic</c:v>
                </c:pt>
              </c:strCache>
            </c:strRef>
          </c:cat>
          <c:val>
            <c:numRef>
              <c:f>'1000'!$E$42:$L$42</c:f>
              <c:numCache>
                <c:formatCode>#,##0</c:formatCode>
                <c:ptCount val="8"/>
                <c:pt idx="0">
                  <c:v>4128</c:v>
                </c:pt>
                <c:pt idx="1">
                  <c:v>1723</c:v>
                </c:pt>
                <c:pt idx="2">
                  <c:v>10730</c:v>
                </c:pt>
                <c:pt idx="3">
                  <c:v>8770</c:v>
                </c:pt>
                <c:pt idx="4">
                  <c:v>10405</c:v>
                </c:pt>
                <c:pt idx="5">
                  <c:v>683</c:v>
                </c:pt>
                <c:pt idx="6">
                  <c:v>8531</c:v>
                </c:pt>
                <c:pt idx="7">
                  <c:v>3788</c:v>
                </c:pt>
              </c:numCache>
            </c:numRef>
          </c:val>
        </c:ser>
        <c:ser>
          <c:idx val="0"/>
          <c:order val="3"/>
          <c:tx>
            <c:strRef>
              <c:f>'1000'!$A$41</c:f>
              <c:strCache>
                <c:ptCount val="1"/>
                <c:pt idx="0">
                  <c:v>    Create Instance</c:v>
                </c:pt>
              </c:strCache>
            </c:strRef>
          </c:tx>
          <c:cat>
            <c:strRef>
              <c:f>'1000'!$E$4:$L$4</c:f>
              <c:strCache>
                <c:ptCount val="8"/>
                <c:pt idx="0">
                  <c:v>Entity Framework</c:v>
                </c:pt>
                <c:pt idx="1">
                  <c:v>LINQ to SQL</c:v>
                </c:pt>
                <c:pt idx="2">
                  <c:v>BLToolkit</c:v>
                </c:pt>
                <c:pt idx="3">
                  <c:v>DataObjects.Net</c:v>
                </c:pt>
                <c:pt idx="4">
                  <c:v>LinqConnect</c:v>
                </c:pt>
                <c:pt idx="5">
                  <c:v>NHibernate</c:v>
                </c:pt>
                <c:pt idx="6">
                  <c:v>OpenAccess</c:v>
                </c:pt>
                <c:pt idx="7">
                  <c:v>Subsonic</c:v>
                </c:pt>
              </c:strCache>
            </c:strRef>
          </c:cat>
          <c:val>
            <c:numRef>
              <c:f>'1000'!$E$41:$L$41</c:f>
              <c:numCache>
                <c:formatCode>#,##0</c:formatCode>
                <c:ptCount val="8"/>
                <c:pt idx="0">
                  <c:v>3619</c:v>
                </c:pt>
                <c:pt idx="1">
                  <c:v>3409</c:v>
                </c:pt>
                <c:pt idx="2">
                  <c:v>11047</c:v>
                </c:pt>
                <c:pt idx="3">
                  <c:v>6737</c:v>
                </c:pt>
                <c:pt idx="4">
                  <c:v>8478</c:v>
                </c:pt>
                <c:pt idx="5">
                  <c:v>3599</c:v>
                </c:pt>
                <c:pt idx="6">
                  <c:v>8914</c:v>
                </c:pt>
                <c:pt idx="7">
                  <c:v>3269</c:v>
                </c:pt>
              </c:numCache>
            </c:numRef>
          </c:val>
        </c:ser>
        <c:gapWidth val="75"/>
        <c:overlap val="-25"/>
        <c:axId val="131316352"/>
        <c:axId val="133710208"/>
      </c:barChart>
      <c:catAx>
        <c:axId val="131316352"/>
        <c:scaling>
          <c:orientation val="minMax"/>
        </c:scaling>
        <c:axPos val="l"/>
        <c:majorTickMark val="none"/>
        <c:tickLblPos val="nextTo"/>
        <c:crossAx val="133710208"/>
        <c:crosses val="autoZero"/>
        <c:auto val="1"/>
        <c:lblAlgn val="ctr"/>
        <c:lblOffset val="100"/>
      </c:catAx>
      <c:valAx>
        <c:axId val="133710208"/>
        <c:scaling>
          <c:orientation val="minMax"/>
          <c:min val="0"/>
        </c:scaling>
        <c:axPos val="b"/>
        <c:majorGridlines/>
        <c:numFmt formatCode="#,##0" sourceLinked="1"/>
        <c:majorTickMark val="none"/>
        <c:tickLblPos val="nextTo"/>
        <c:crossAx val="131316352"/>
        <c:crosses val="autoZero"/>
        <c:crossBetween val="between"/>
      </c:valAx>
    </c:plotArea>
    <c:legend>
      <c:legendPos val="b"/>
      <c:layout/>
    </c:legend>
    <c:plotVisOnly val="1"/>
  </c:chart>
  <c:printSettings>
    <c:headerFooter/>
    <c:pageMargins b="0.75000000000000666" l="0.70000000000000062" r="0.70000000000000062" t="0.75000000000000666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style val="18"/>
  <c:chart>
    <c:title>
      <c:tx>
        <c:rich>
          <a:bodyPr/>
          <a:lstStyle/>
          <a:p>
            <a:pPr>
              <a:defRPr/>
            </a:pPr>
            <a:r>
              <a:rPr lang="en-US"/>
              <a:t>Materialization</a:t>
            </a:r>
            <a:br>
              <a:rPr lang="en-US"/>
            </a:br>
            <a:r>
              <a:rPr lang="en-US" sz="1400" b="0" i="0" u="none" strike="noStrike" baseline="0"/>
              <a:t># of objects per second</a:t>
            </a:r>
            <a:endParaRPr lang="en-US"/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tx>
            <c:strRef>
              <c:f>'1000'!$A$63</c:f>
              <c:strCache>
                <c:ptCount val="1"/>
                <c:pt idx="0">
                  <c:v>    Native Materialize</c:v>
                </c:pt>
              </c:strCache>
            </c:strRef>
          </c:tx>
          <c:cat>
            <c:strRef>
              <c:f>'1000'!$E$4:$L$4</c:f>
              <c:strCache>
                <c:ptCount val="8"/>
                <c:pt idx="0">
                  <c:v>Entity Framework</c:v>
                </c:pt>
                <c:pt idx="1">
                  <c:v>LINQ to SQL</c:v>
                </c:pt>
                <c:pt idx="2">
                  <c:v>BLToolkit</c:v>
                </c:pt>
                <c:pt idx="3">
                  <c:v>DataObjects.Net</c:v>
                </c:pt>
                <c:pt idx="4">
                  <c:v>LinqConnect</c:v>
                </c:pt>
                <c:pt idx="5">
                  <c:v>NHibernate</c:v>
                </c:pt>
                <c:pt idx="6">
                  <c:v>OpenAccess</c:v>
                </c:pt>
                <c:pt idx="7">
                  <c:v>Subsonic</c:v>
                </c:pt>
              </c:strCache>
            </c:strRef>
          </c:cat>
          <c:val>
            <c:numRef>
              <c:f>'1000'!$E$63:$L$63</c:f>
              <c:numCache>
                <c:formatCode>#,##0</c:formatCode>
                <c:ptCount val="8"/>
                <c:pt idx="0">
                  <c:v>201328</c:v>
                </c:pt>
                <c:pt idx="1">
                  <c:v>0</c:v>
                </c:pt>
                <c:pt idx="2">
                  <c:v>888651</c:v>
                </c:pt>
                <c:pt idx="3">
                  <c:v>281056</c:v>
                </c:pt>
                <c:pt idx="4">
                  <c:v>0</c:v>
                </c:pt>
                <c:pt idx="5">
                  <c:v>49879</c:v>
                </c:pt>
                <c:pt idx="6">
                  <c:v>344317</c:v>
                </c:pt>
                <c:pt idx="7">
                  <c:v>124055</c:v>
                </c:pt>
              </c:numCache>
            </c:numRef>
          </c:val>
        </c:ser>
        <c:ser>
          <c:idx val="1"/>
          <c:order val="1"/>
          <c:tx>
            <c:strRef>
              <c:f>'1000'!$A$62</c:f>
              <c:strCache>
                <c:ptCount val="1"/>
                <c:pt idx="0">
                  <c:v>    LINQ Materialize</c:v>
                </c:pt>
              </c:strCache>
            </c:strRef>
          </c:tx>
          <c:cat>
            <c:strRef>
              <c:f>'1000'!$E$4:$L$4</c:f>
              <c:strCache>
                <c:ptCount val="8"/>
                <c:pt idx="0">
                  <c:v>Entity Framework</c:v>
                </c:pt>
                <c:pt idx="1">
                  <c:v>LINQ to SQL</c:v>
                </c:pt>
                <c:pt idx="2">
                  <c:v>BLToolkit</c:v>
                </c:pt>
                <c:pt idx="3">
                  <c:v>DataObjects.Net</c:v>
                </c:pt>
                <c:pt idx="4">
                  <c:v>LinqConnect</c:v>
                </c:pt>
                <c:pt idx="5">
                  <c:v>NHibernate</c:v>
                </c:pt>
                <c:pt idx="6">
                  <c:v>OpenAccess</c:v>
                </c:pt>
                <c:pt idx="7">
                  <c:v>Subsonic</c:v>
                </c:pt>
              </c:strCache>
            </c:strRef>
          </c:cat>
          <c:val>
            <c:numRef>
              <c:f>'1000'!$E$62:$L$62</c:f>
              <c:numCache>
                <c:formatCode>#,##0</c:formatCode>
                <c:ptCount val="8"/>
                <c:pt idx="0">
                  <c:v>125922</c:v>
                </c:pt>
                <c:pt idx="1">
                  <c:v>455497</c:v>
                </c:pt>
                <c:pt idx="2">
                  <c:v>549480</c:v>
                </c:pt>
                <c:pt idx="3">
                  <c:v>215973</c:v>
                </c:pt>
                <c:pt idx="4">
                  <c:v>208281</c:v>
                </c:pt>
                <c:pt idx="5">
                  <c:v>37802</c:v>
                </c:pt>
                <c:pt idx="6">
                  <c:v>268046</c:v>
                </c:pt>
                <c:pt idx="7">
                  <c:v>79624</c:v>
                </c:pt>
              </c:numCache>
            </c:numRef>
          </c:val>
        </c:ser>
        <c:gapWidth val="75"/>
        <c:overlap val="-25"/>
        <c:axId val="133743744"/>
        <c:axId val="133745280"/>
      </c:barChart>
      <c:catAx>
        <c:axId val="133743744"/>
        <c:scaling>
          <c:orientation val="minMax"/>
        </c:scaling>
        <c:axPos val="l"/>
        <c:majorTickMark val="none"/>
        <c:tickLblPos val="nextTo"/>
        <c:crossAx val="133745280"/>
        <c:crosses val="autoZero"/>
        <c:auto val="1"/>
        <c:lblAlgn val="ctr"/>
        <c:lblOffset val="100"/>
      </c:catAx>
      <c:valAx>
        <c:axId val="133745280"/>
        <c:scaling>
          <c:orientation val="minMax"/>
        </c:scaling>
        <c:axPos val="b"/>
        <c:majorGridlines/>
        <c:numFmt formatCode="#,##0" sourceLinked="1"/>
        <c:majorTickMark val="none"/>
        <c:tickLblPos val="nextTo"/>
        <c:crossAx val="133743744"/>
        <c:crosses val="autoZero"/>
        <c:crossBetween val="between"/>
      </c:valAx>
    </c:plotArea>
    <c:legend>
      <c:legendPos val="b"/>
      <c:layout/>
    </c:legend>
    <c:plotVisOnly val="1"/>
  </c:chart>
  <c:printSettings>
    <c:headerFooter/>
    <c:pageMargins b="0.75000000000000688" l="0.70000000000000062" r="0.70000000000000062" t="0.75000000000000688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style val="18"/>
  <c:chart>
    <c:title>
      <c:tx>
        <c:rich>
          <a:bodyPr/>
          <a:lstStyle/>
          <a:p>
            <a:pPr>
              <a:defRPr/>
            </a:pPr>
            <a:r>
              <a:rPr lang="en-US"/>
              <a:t>Queries</a:t>
            </a:r>
            <a:br>
              <a:rPr lang="en-US"/>
            </a:br>
            <a:r>
              <a:rPr lang="en-US" sz="1400" b="0"/>
              <a:t># of queries per second</a:t>
            </a:r>
          </a:p>
        </c:rich>
      </c:tx>
      <c:layout/>
    </c:title>
    <c:plotArea>
      <c:layout/>
      <c:barChart>
        <c:barDir val="bar"/>
        <c:grouping val="clustered"/>
        <c:ser>
          <c:idx val="2"/>
          <c:order val="0"/>
          <c:tx>
            <c:strRef>
              <c:f>'1000'!$A$55</c:f>
              <c:strCache>
                <c:ptCount val="1"/>
                <c:pt idx="0">
                  <c:v>    Native Query</c:v>
                </c:pt>
              </c:strCache>
            </c:strRef>
          </c:tx>
          <c:cat>
            <c:strRef>
              <c:f>'1000'!$E$4:$L$4</c:f>
              <c:strCache>
                <c:ptCount val="8"/>
                <c:pt idx="0">
                  <c:v>Entity Framework</c:v>
                </c:pt>
                <c:pt idx="1">
                  <c:v>LINQ to SQL</c:v>
                </c:pt>
                <c:pt idx="2">
                  <c:v>BLToolkit</c:v>
                </c:pt>
                <c:pt idx="3">
                  <c:v>DataObjects.Net</c:v>
                </c:pt>
                <c:pt idx="4">
                  <c:v>LinqConnect</c:v>
                </c:pt>
                <c:pt idx="5">
                  <c:v>NHibernate</c:v>
                </c:pt>
                <c:pt idx="6">
                  <c:v>OpenAccess</c:v>
                </c:pt>
                <c:pt idx="7">
                  <c:v>Subsonic</c:v>
                </c:pt>
              </c:strCache>
            </c:strRef>
          </c:cat>
          <c:val>
            <c:numRef>
              <c:f>'1000'!$E$55:$L$55</c:f>
              <c:numCache>
                <c:formatCode>#,##0</c:formatCode>
                <c:ptCount val="8"/>
                <c:pt idx="0">
                  <c:v>8758</c:v>
                </c:pt>
                <c:pt idx="1">
                  <c:v>0</c:v>
                </c:pt>
                <c:pt idx="2">
                  <c:v>15374</c:v>
                </c:pt>
                <c:pt idx="3">
                  <c:v>10898</c:v>
                </c:pt>
                <c:pt idx="4">
                  <c:v>0</c:v>
                </c:pt>
                <c:pt idx="5">
                  <c:v>3945</c:v>
                </c:pt>
                <c:pt idx="6">
                  <c:v>6174</c:v>
                </c:pt>
                <c:pt idx="7">
                  <c:v>7656</c:v>
                </c:pt>
              </c:numCache>
            </c:numRef>
          </c:val>
        </c:ser>
        <c:ser>
          <c:idx val="0"/>
          <c:order val="1"/>
          <c:tx>
            <c:strRef>
              <c:f>'1000'!$A$53</c:f>
              <c:strCache>
                <c:ptCount val="1"/>
                <c:pt idx="0">
                  <c:v>    LINQ Query</c:v>
                </c:pt>
              </c:strCache>
            </c:strRef>
          </c:tx>
          <c:cat>
            <c:strRef>
              <c:f>'1000'!$E$4:$L$4</c:f>
              <c:strCache>
                <c:ptCount val="8"/>
                <c:pt idx="0">
                  <c:v>Entity Framework</c:v>
                </c:pt>
                <c:pt idx="1">
                  <c:v>LINQ to SQL</c:v>
                </c:pt>
                <c:pt idx="2">
                  <c:v>BLToolkit</c:v>
                </c:pt>
                <c:pt idx="3">
                  <c:v>DataObjects.Net</c:v>
                </c:pt>
                <c:pt idx="4">
                  <c:v>LinqConnect</c:v>
                </c:pt>
                <c:pt idx="5">
                  <c:v>NHibernate</c:v>
                </c:pt>
                <c:pt idx="6">
                  <c:v>OpenAccess</c:v>
                </c:pt>
                <c:pt idx="7">
                  <c:v>Subsonic</c:v>
                </c:pt>
              </c:strCache>
            </c:strRef>
          </c:cat>
          <c:val>
            <c:numRef>
              <c:f>'1000'!$E$53:$L$53</c:f>
              <c:numCache>
                <c:formatCode>#,##0</c:formatCode>
                <c:ptCount val="8"/>
                <c:pt idx="0">
                  <c:v>563</c:v>
                </c:pt>
                <c:pt idx="1">
                  <c:v>743</c:v>
                </c:pt>
                <c:pt idx="2">
                  <c:v>8064</c:v>
                </c:pt>
                <c:pt idx="3">
                  <c:v>1414</c:v>
                </c:pt>
                <c:pt idx="4">
                  <c:v>2980</c:v>
                </c:pt>
                <c:pt idx="5">
                  <c:v>1008</c:v>
                </c:pt>
                <c:pt idx="6">
                  <c:v>3298</c:v>
                </c:pt>
                <c:pt idx="7">
                  <c:v>231</c:v>
                </c:pt>
              </c:numCache>
            </c:numRef>
          </c:val>
        </c:ser>
        <c:ser>
          <c:idx val="1"/>
          <c:order val="2"/>
          <c:tx>
            <c:strRef>
              <c:f>'1000'!$A$54</c:f>
              <c:strCache>
                <c:ptCount val="1"/>
                <c:pt idx="0">
                  <c:v>    Compiled LINQ Query</c:v>
                </c:pt>
              </c:strCache>
            </c:strRef>
          </c:tx>
          <c:val>
            <c:numRef>
              <c:f>'1000'!$E$54:$L$54</c:f>
              <c:numCache>
                <c:formatCode>#,##0</c:formatCode>
                <c:ptCount val="8"/>
                <c:pt idx="0">
                  <c:v>6586</c:v>
                </c:pt>
                <c:pt idx="1">
                  <c:v>9575</c:v>
                </c:pt>
                <c:pt idx="2">
                  <c:v>12601</c:v>
                </c:pt>
                <c:pt idx="3">
                  <c:v>9029</c:v>
                </c:pt>
                <c:pt idx="4">
                  <c:v>9732</c:v>
                </c:pt>
                <c:pt idx="5">
                  <c:v>0</c:v>
                </c:pt>
                <c:pt idx="6">
                  <c:v>3383</c:v>
                </c:pt>
                <c:pt idx="7">
                  <c:v>0</c:v>
                </c:pt>
              </c:numCache>
            </c:numRef>
          </c:val>
        </c:ser>
        <c:gapWidth val="75"/>
        <c:overlap val="-25"/>
        <c:axId val="135430144"/>
        <c:axId val="135431680"/>
      </c:barChart>
      <c:catAx>
        <c:axId val="135430144"/>
        <c:scaling>
          <c:orientation val="minMax"/>
        </c:scaling>
        <c:axPos val="l"/>
        <c:majorTickMark val="none"/>
        <c:tickLblPos val="nextTo"/>
        <c:crossAx val="135431680"/>
        <c:crosses val="autoZero"/>
        <c:auto val="1"/>
        <c:lblAlgn val="ctr"/>
        <c:lblOffset val="100"/>
      </c:catAx>
      <c:valAx>
        <c:axId val="135431680"/>
        <c:scaling>
          <c:orientation val="minMax"/>
        </c:scaling>
        <c:axPos val="b"/>
        <c:majorGridlines/>
        <c:numFmt formatCode="#,##0" sourceLinked="1"/>
        <c:majorTickMark val="none"/>
        <c:tickLblPos val="nextTo"/>
        <c:crossAx val="135430144"/>
        <c:crosses val="autoZero"/>
        <c:crossBetween val="between"/>
      </c:valAx>
    </c:plotArea>
    <c:legend>
      <c:legendPos val="b"/>
      <c:layout/>
    </c:legend>
    <c:plotVisOnly val="1"/>
  </c:chart>
  <c:printSettings>
    <c:headerFooter/>
    <c:pageMargins b="0.75000000000000666" l="0.70000000000000062" r="0.70000000000000062" t="0.75000000000000666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style val="18"/>
  <c:chart>
    <c:title>
      <c:tx>
        <c:rich>
          <a:bodyPr/>
          <a:lstStyle/>
          <a:p>
            <a:pPr>
              <a:defRPr/>
            </a:pPr>
            <a:r>
              <a:rPr lang="en-US"/>
              <a:t>Fetch</a:t>
            </a:r>
            <a:br>
              <a:rPr lang="en-US"/>
            </a:br>
            <a:r>
              <a:rPr lang="en-US" sz="1400" b="0" i="0" u="none" strike="noStrike" baseline="0"/>
              <a:t># of objects per second</a:t>
            </a:r>
            <a:endParaRPr lang="en-US"/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tx>
            <c:strRef>
              <c:f>'1000'!$A$39</c:f>
              <c:strCache>
                <c:ptCount val="1"/>
                <c:pt idx="0">
                  <c:v>  Fetch</c:v>
                </c:pt>
              </c:strCache>
            </c:strRef>
          </c:tx>
          <c:cat>
            <c:strRef>
              <c:f>'1000'!$E$4:$L$4</c:f>
              <c:strCache>
                <c:ptCount val="8"/>
                <c:pt idx="0">
                  <c:v>Entity Framework</c:v>
                </c:pt>
                <c:pt idx="1">
                  <c:v>LINQ to SQL</c:v>
                </c:pt>
                <c:pt idx="2">
                  <c:v>BLToolkit</c:v>
                </c:pt>
                <c:pt idx="3">
                  <c:v>DataObjects.Net</c:v>
                </c:pt>
                <c:pt idx="4">
                  <c:v>LinqConnect</c:v>
                </c:pt>
                <c:pt idx="5">
                  <c:v>NHibernate</c:v>
                </c:pt>
                <c:pt idx="6">
                  <c:v>OpenAccess</c:v>
                </c:pt>
                <c:pt idx="7">
                  <c:v>Subsonic</c:v>
                </c:pt>
              </c:strCache>
            </c:strRef>
          </c:cat>
          <c:val>
            <c:numRef>
              <c:f>'1000'!$E$39:$L$39</c:f>
              <c:numCache>
                <c:formatCode>#,##0</c:formatCode>
                <c:ptCount val="8"/>
                <c:pt idx="0">
                  <c:v>5316</c:v>
                </c:pt>
                <c:pt idx="1">
                  <c:v>8855</c:v>
                </c:pt>
                <c:pt idx="2">
                  <c:v>11663</c:v>
                </c:pt>
                <c:pt idx="3">
                  <c:v>8086</c:v>
                </c:pt>
                <c:pt idx="4">
                  <c:v>12007</c:v>
                </c:pt>
                <c:pt idx="5">
                  <c:v>6070</c:v>
                </c:pt>
                <c:pt idx="6">
                  <c:v>5493</c:v>
                </c:pt>
                <c:pt idx="7">
                  <c:v>8332</c:v>
                </c:pt>
              </c:numCache>
            </c:numRef>
          </c:val>
        </c:ser>
        <c:gapWidth val="75"/>
        <c:overlap val="-25"/>
        <c:axId val="135451776"/>
        <c:axId val="135453312"/>
      </c:barChart>
      <c:catAx>
        <c:axId val="135451776"/>
        <c:scaling>
          <c:orientation val="minMax"/>
        </c:scaling>
        <c:axPos val="l"/>
        <c:majorTickMark val="none"/>
        <c:tickLblPos val="nextTo"/>
        <c:crossAx val="135453312"/>
        <c:crosses val="autoZero"/>
        <c:auto val="1"/>
        <c:lblAlgn val="ctr"/>
        <c:lblOffset val="100"/>
      </c:catAx>
      <c:valAx>
        <c:axId val="135453312"/>
        <c:scaling>
          <c:orientation val="minMax"/>
        </c:scaling>
        <c:axPos val="b"/>
        <c:majorGridlines/>
        <c:numFmt formatCode="#,##0" sourceLinked="1"/>
        <c:majorTickMark val="none"/>
        <c:tickLblPos val="nextTo"/>
        <c:crossAx val="135451776"/>
        <c:crosses val="autoZero"/>
        <c:crossBetween val="between"/>
      </c:valAx>
    </c:plotArea>
    <c:legend>
      <c:legendPos val="b"/>
      <c:layout/>
    </c:legend>
    <c:plotVisOnly val="1"/>
  </c:chart>
  <c:printSettings>
    <c:headerFooter/>
    <c:pageMargins b="0.75000000000000711" l="0.70000000000000062" r="0.70000000000000062" t="0.75000000000000711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style val="18"/>
  <c:chart>
    <c:title>
      <c:tx>
        <c:rich>
          <a:bodyPr/>
          <a:lstStyle/>
          <a:p>
            <a:pPr>
              <a:defRPr/>
            </a:pPr>
            <a:r>
              <a:rPr lang="en-US"/>
              <a:t>LINQ implementation score</a:t>
            </a:r>
            <a:br>
              <a:rPr lang="en-US"/>
            </a:br>
            <a:r>
              <a:rPr lang="en-US" sz="1400" b="0"/>
              <a:t># of passing tests out of 100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tx>
            <c:strRef>
              <c:f>'1000'!$A$27</c:f>
              <c:strCache>
                <c:ptCount val="1"/>
                <c:pt idx="0">
                  <c:v>  Score</c:v>
                </c:pt>
              </c:strCache>
            </c:strRef>
          </c:tx>
          <c:cat>
            <c:strRef>
              <c:f>'1000'!$E$4:$L$4</c:f>
              <c:strCache>
                <c:ptCount val="8"/>
                <c:pt idx="0">
                  <c:v>Entity Framework</c:v>
                </c:pt>
                <c:pt idx="1">
                  <c:v>LINQ to SQL</c:v>
                </c:pt>
                <c:pt idx="2">
                  <c:v>BLToolkit</c:v>
                </c:pt>
                <c:pt idx="3">
                  <c:v>DataObjects.Net</c:v>
                </c:pt>
                <c:pt idx="4">
                  <c:v>LinqConnect</c:v>
                </c:pt>
                <c:pt idx="5">
                  <c:v>NHibernate</c:v>
                </c:pt>
                <c:pt idx="6">
                  <c:v>OpenAccess</c:v>
                </c:pt>
                <c:pt idx="7">
                  <c:v>Subsonic</c:v>
                </c:pt>
              </c:strCache>
            </c:strRef>
          </c:cat>
          <c:val>
            <c:numRef>
              <c:f>'1000'!$E$27:$L$27</c:f>
              <c:numCache>
                <c:formatCode>General</c:formatCode>
                <c:ptCount val="8"/>
                <c:pt idx="0">
                  <c:v>79.3</c:v>
                </c:pt>
                <c:pt idx="1">
                  <c:v>89.3</c:v>
                </c:pt>
                <c:pt idx="2">
                  <c:v>84.3</c:v>
                </c:pt>
                <c:pt idx="3">
                  <c:v>98.3</c:v>
                </c:pt>
                <c:pt idx="4">
                  <c:v>87.6</c:v>
                </c:pt>
                <c:pt idx="5">
                  <c:v>28.9</c:v>
                </c:pt>
                <c:pt idx="6">
                  <c:v>77.7</c:v>
                </c:pt>
                <c:pt idx="7" formatCode="#,##0">
                  <c:v>0</c:v>
                </c:pt>
              </c:numCache>
            </c:numRef>
          </c:val>
        </c:ser>
        <c:gapWidth val="75"/>
        <c:overlap val="-25"/>
        <c:axId val="135551232"/>
        <c:axId val="135565312"/>
      </c:barChart>
      <c:catAx>
        <c:axId val="135551232"/>
        <c:scaling>
          <c:orientation val="minMax"/>
        </c:scaling>
        <c:axPos val="l"/>
        <c:majorTickMark val="none"/>
        <c:tickLblPos val="nextTo"/>
        <c:crossAx val="135565312"/>
        <c:crosses val="autoZero"/>
        <c:auto val="1"/>
        <c:lblAlgn val="ctr"/>
        <c:lblOffset val="100"/>
      </c:catAx>
      <c:valAx>
        <c:axId val="135565312"/>
        <c:scaling>
          <c:orientation val="minMax"/>
          <c:max val="100"/>
          <c:min val="0"/>
        </c:scaling>
        <c:axPos val="b"/>
        <c:majorGridlines/>
        <c:numFmt formatCode="General" sourceLinked="1"/>
        <c:majorTickMark val="none"/>
        <c:tickLblPos val="nextTo"/>
        <c:crossAx val="135551232"/>
        <c:crosses val="autoZero"/>
        <c:crossBetween val="between"/>
      </c:valAx>
    </c:plotArea>
    <c:legend>
      <c:legendPos val="b"/>
      <c:layout/>
    </c:legend>
    <c:plotVisOnly val="1"/>
  </c:chart>
  <c:printSettings>
    <c:headerFooter/>
    <c:pageMargins b="0.75000000000000688" l="0.70000000000000062" r="0.70000000000000062" t="0.75000000000000688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style val="18"/>
  <c:chart>
    <c:title>
      <c:tx>
        <c:rich>
          <a:bodyPr/>
          <a:lstStyle/>
          <a:p>
            <a:pPr>
              <a:defRPr/>
            </a:pPr>
            <a:r>
              <a:rPr lang="en-US"/>
              <a:t>Paging</a:t>
            </a:r>
            <a:br>
              <a:rPr lang="en-US"/>
            </a:br>
            <a:r>
              <a:rPr lang="en-US" sz="1400" b="0" i="0" u="none" strike="noStrike" baseline="0"/>
              <a:t># of pages per second</a:t>
            </a:r>
            <a:endParaRPr lang="en-US"/>
          </a:p>
        </c:rich>
      </c:tx>
      <c:layout/>
    </c:title>
    <c:plotArea>
      <c:layout/>
      <c:barChart>
        <c:barDir val="bar"/>
        <c:grouping val="clustered"/>
        <c:ser>
          <c:idx val="3"/>
          <c:order val="0"/>
          <c:tx>
            <c:strRef>
              <c:f>'1000'!$A$60</c:f>
              <c:strCache>
                <c:ptCount val="1"/>
                <c:pt idx="0">
                  <c:v>    Get Huge Page    (100 items)</c:v>
                </c:pt>
              </c:strCache>
            </c:strRef>
          </c:tx>
          <c:cat>
            <c:strRef>
              <c:f>'1000'!$E$4:$L$4</c:f>
              <c:strCache>
                <c:ptCount val="8"/>
                <c:pt idx="0">
                  <c:v>Entity Framework</c:v>
                </c:pt>
                <c:pt idx="1">
                  <c:v>LINQ to SQL</c:v>
                </c:pt>
                <c:pt idx="2">
                  <c:v>BLToolkit</c:v>
                </c:pt>
                <c:pt idx="3">
                  <c:v>DataObjects.Net</c:v>
                </c:pt>
                <c:pt idx="4">
                  <c:v>LinqConnect</c:v>
                </c:pt>
                <c:pt idx="5">
                  <c:v>NHibernate</c:v>
                </c:pt>
                <c:pt idx="6">
                  <c:v>OpenAccess</c:v>
                </c:pt>
                <c:pt idx="7">
                  <c:v>Subsonic</c:v>
                </c:pt>
              </c:strCache>
            </c:strRef>
          </c:cat>
          <c:val>
            <c:numRef>
              <c:f>'1000'!$E$60:$L$60</c:f>
              <c:numCache>
                <c:formatCode>#,##0</c:formatCode>
                <c:ptCount val="8"/>
                <c:pt idx="0">
                  <c:v>1467</c:v>
                </c:pt>
                <c:pt idx="1">
                  <c:v>3910</c:v>
                </c:pt>
                <c:pt idx="2">
                  <c:v>4538</c:v>
                </c:pt>
                <c:pt idx="3">
                  <c:v>1929</c:v>
                </c:pt>
                <c:pt idx="4">
                  <c:v>1890</c:v>
                </c:pt>
                <c:pt idx="5">
                  <c:v>325</c:v>
                </c:pt>
                <c:pt idx="6">
                  <c:v>1671</c:v>
                </c:pt>
                <c:pt idx="7">
                  <c:v>189</c:v>
                </c:pt>
              </c:numCache>
            </c:numRef>
          </c:val>
        </c:ser>
        <c:ser>
          <c:idx val="2"/>
          <c:order val="1"/>
          <c:tx>
            <c:strRef>
              <c:f>'1000'!$A$59</c:f>
              <c:strCache>
                <c:ptCount val="1"/>
                <c:pt idx="0">
                  <c:v>    Get Large Page   (50 items)</c:v>
                </c:pt>
              </c:strCache>
            </c:strRef>
          </c:tx>
          <c:cat>
            <c:strRef>
              <c:f>'1000'!$E$4:$L$4</c:f>
              <c:strCache>
                <c:ptCount val="8"/>
                <c:pt idx="0">
                  <c:v>Entity Framework</c:v>
                </c:pt>
                <c:pt idx="1">
                  <c:v>LINQ to SQL</c:v>
                </c:pt>
                <c:pt idx="2">
                  <c:v>BLToolkit</c:v>
                </c:pt>
                <c:pt idx="3">
                  <c:v>DataObjects.Net</c:v>
                </c:pt>
                <c:pt idx="4">
                  <c:v>LinqConnect</c:v>
                </c:pt>
                <c:pt idx="5">
                  <c:v>NHibernate</c:v>
                </c:pt>
                <c:pt idx="6">
                  <c:v>OpenAccess</c:v>
                </c:pt>
                <c:pt idx="7">
                  <c:v>Subsonic</c:v>
                </c:pt>
              </c:strCache>
            </c:strRef>
          </c:cat>
          <c:val>
            <c:numRef>
              <c:f>'1000'!$E$59:$L$59</c:f>
              <c:numCache>
                <c:formatCode>#,##0</c:formatCode>
                <c:ptCount val="8"/>
                <c:pt idx="0">
                  <c:v>2348</c:v>
                </c:pt>
                <c:pt idx="1">
                  <c:v>5373</c:v>
                </c:pt>
                <c:pt idx="2">
                  <c:v>6494</c:v>
                </c:pt>
                <c:pt idx="3">
                  <c:v>3198</c:v>
                </c:pt>
                <c:pt idx="4">
                  <c:v>3151</c:v>
                </c:pt>
                <c:pt idx="5">
                  <c:v>496</c:v>
                </c:pt>
                <c:pt idx="6">
                  <c:v>2235</c:v>
                </c:pt>
                <c:pt idx="7">
                  <c:v>191</c:v>
                </c:pt>
              </c:numCache>
            </c:numRef>
          </c:val>
        </c:ser>
        <c:ser>
          <c:idx val="1"/>
          <c:order val="2"/>
          <c:tx>
            <c:strRef>
              <c:f>'1000'!$A$58</c:f>
              <c:strCache>
                <c:ptCount val="1"/>
                <c:pt idx="0">
                  <c:v>    Get Average Page (20 items)</c:v>
                </c:pt>
              </c:strCache>
            </c:strRef>
          </c:tx>
          <c:cat>
            <c:strRef>
              <c:f>'1000'!$E$4:$L$4</c:f>
              <c:strCache>
                <c:ptCount val="8"/>
                <c:pt idx="0">
                  <c:v>Entity Framework</c:v>
                </c:pt>
                <c:pt idx="1">
                  <c:v>LINQ to SQL</c:v>
                </c:pt>
                <c:pt idx="2">
                  <c:v>BLToolkit</c:v>
                </c:pt>
                <c:pt idx="3">
                  <c:v>DataObjects.Net</c:v>
                </c:pt>
                <c:pt idx="4">
                  <c:v>LinqConnect</c:v>
                </c:pt>
                <c:pt idx="5">
                  <c:v>NHibernate</c:v>
                </c:pt>
                <c:pt idx="6">
                  <c:v>OpenAccess</c:v>
                </c:pt>
                <c:pt idx="7">
                  <c:v>Subsonic</c:v>
                </c:pt>
              </c:strCache>
            </c:strRef>
          </c:cat>
          <c:val>
            <c:numRef>
              <c:f>'1000'!$E$58:$L$58</c:f>
              <c:numCache>
                <c:formatCode>#,##0</c:formatCode>
                <c:ptCount val="8"/>
                <c:pt idx="0">
                  <c:v>3708</c:v>
                </c:pt>
                <c:pt idx="1">
                  <c:v>7050</c:v>
                </c:pt>
                <c:pt idx="2">
                  <c:v>9174</c:v>
                </c:pt>
                <c:pt idx="3">
                  <c:v>5246</c:v>
                </c:pt>
                <c:pt idx="4">
                  <c:v>5290</c:v>
                </c:pt>
                <c:pt idx="5">
                  <c:v>631</c:v>
                </c:pt>
                <c:pt idx="6">
                  <c:v>2805</c:v>
                </c:pt>
                <c:pt idx="7">
                  <c:v>212</c:v>
                </c:pt>
              </c:numCache>
            </c:numRef>
          </c:val>
        </c:ser>
        <c:ser>
          <c:idx val="0"/>
          <c:order val="3"/>
          <c:tx>
            <c:strRef>
              <c:f>'1000'!$A$57</c:f>
              <c:strCache>
                <c:ptCount val="1"/>
                <c:pt idx="0">
                  <c:v>    Get Small Page   (10 items)</c:v>
                </c:pt>
              </c:strCache>
            </c:strRef>
          </c:tx>
          <c:cat>
            <c:strRef>
              <c:f>'1000'!$E$4:$L$4</c:f>
              <c:strCache>
                <c:ptCount val="8"/>
                <c:pt idx="0">
                  <c:v>Entity Framework</c:v>
                </c:pt>
                <c:pt idx="1">
                  <c:v>LINQ to SQL</c:v>
                </c:pt>
                <c:pt idx="2">
                  <c:v>BLToolkit</c:v>
                </c:pt>
                <c:pt idx="3">
                  <c:v>DataObjects.Net</c:v>
                </c:pt>
                <c:pt idx="4">
                  <c:v>LinqConnect</c:v>
                </c:pt>
                <c:pt idx="5">
                  <c:v>NHibernate</c:v>
                </c:pt>
                <c:pt idx="6">
                  <c:v>OpenAccess</c:v>
                </c:pt>
                <c:pt idx="7">
                  <c:v>Subsonic</c:v>
                </c:pt>
              </c:strCache>
            </c:strRef>
          </c:cat>
          <c:val>
            <c:numRef>
              <c:f>'1000'!$E$57:$L$57</c:f>
              <c:numCache>
                <c:formatCode>#,##0</c:formatCode>
                <c:ptCount val="8"/>
                <c:pt idx="0">
                  <c:v>4600</c:v>
                </c:pt>
                <c:pt idx="1">
                  <c:v>7779</c:v>
                </c:pt>
                <c:pt idx="2">
                  <c:v>10608</c:v>
                </c:pt>
                <c:pt idx="3">
                  <c:v>6769</c:v>
                </c:pt>
                <c:pt idx="4">
                  <c:v>6912</c:v>
                </c:pt>
                <c:pt idx="5">
                  <c:v>707</c:v>
                </c:pt>
                <c:pt idx="6">
                  <c:v>3057</c:v>
                </c:pt>
                <c:pt idx="7">
                  <c:v>221</c:v>
                </c:pt>
              </c:numCache>
            </c:numRef>
          </c:val>
        </c:ser>
        <c:gapWidth val="75"/>
        <c:overlap val="-25"/>
        <c:axId val="135580672"/>
        <c:axId val="135590656"/>
      </c:barChart>
      <c:catAx>
        <c:axId val="135580672"/>
        <c:scaling>
          <c:orientation val="minMax"/>
        </c:scaling>
        <c:axPos val="l"/>
        <c:majorTickMark val="none"/>
        <c:tickLblPos val="nextTo"/>
        <c:crossAx val="135590656"/>
        <c:crosses val="autoZero"/>
        <c:auto val="1"/>
        <c:lblAlgn val="ctr"/>
        <c:lblOffset val="100"/>
      </c:catAx>
      <c:valAx>
        <c:axId val="135590656"/>
        <c:scaling>
          <c:orientation val="minMax"/>
        </c:scaling>
        <c:axPos val="b"/>
        <c:majorGridlines/>
        <c:numFmt formatCode="#,##0" sourceLinked="1"/>
        <c:majorTickMark val="none"/>
        <c:tickLblPos val="nextTo"/>
        <c:crossAx val="135580672"/>
        <c:crosses val="autoZero"/>
        <c:crossBetween val="between"/>
      </c:valAx>
    </c:plotArea>
    <c:legend>
      <c:legendPos val="b"/>
      <c:layout/>
      <c:txPr>
        <a:bodyPr/>
        <a:lstStyle/>
        <a:p>
          <a:pPr>
            <a:defRPr sz="800" baseline="0"/>
          </a:pPr>
          <a:endParaRPr lang="ru-RU"/>
        </a:p>
      </c:txPr>
    </c:legend>
    <c:plotVisOnly val="1"/>
  </c:chart>
  <c:printSettings>
    <c:headerFooter/>
    <c:pageMargins b="0.75000000000000733" l="0.70000000000000062" r="0.70000000000000062" t="0.750000000000007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style val="18"/>
  <c:chart>
    <c:title>
      <c:tx>
        <c:rich>
          <a:bodyPr/>
          <a:lstStyle/>
          <a:p>
            <a:pPr>
              <a:defRPr/>
            </a:pPr>
            <a:r>
              <a:rPr lang="en-US"/>
              <a:t>CUD Multiple</a:t>
            </a:r>
            <a:br>
              <a:rPr lang="en-US"/>
            </a:br>
            <a:r>
              <a:rPr lang="en-US" sz="1400" b="0" i="0" u="none" strike="noStrike" baseline="0"/>
              <a:t># of objects per second</a:t>
            </a:r>
            <a:endParaRPr lang="en-US"/>
          </a:p>
        </c:rich>
      </c:tx>
      <c:layout/>
    </c:title>
    <c:plotArea>
      <c:layout/>
      <c:barChart>
        <c:barDir val="bar"/>
        <c:grouping val="clustered"/>
        <c:ser>
          <c:idx val="3"/>
          <c:order val="0"/>
          <c:tx>
            <c:strRef>
              <c:f>'1000'!$A$49</c:f>
              <c:strCache>
                <c:ptCount val="1"/>
                <c:pt idx="0">
                  <c:v>    CUD Average</c:v>
                </c:pt>
              </c:strCache>
            </c:strRef>
          </c:tx>
          <c:cat>
            <c:strRef>
              <c:f>'1000'!$E$4:$L$4</c:f>
              <c:strCache>
                <c:ptCount val="8"/>
                <c:pt idx="0">
                  <c:v>Entity Framework</c:v>
                </c:pt>
                <c:pt idx="1">
                  <c:v>LINQ to SQL</c:v>
                </c:pt>
                <c:pt idx="2">
                  <c:v>BLToolkit</c:v>
                </c:pt>
                <c:pt idx="3">
                  <c:v>DataObjects.Net</c:v>
                </c:pt>
                <c:pt idx="4">
                  <c:v>LinqConnect</c:v>
                </c:pt>
                <c:pt idx="5">
                  <c:v>NHibernate</c:v>
                </c:pt>
                <c:pt idx="6">
                  <c:v>OpenAccess</c:v>
                </c:pt>
                <c:pt idx="7">
                  <c:v>Subsonic</c:v>
                </c:pt>
              </c:strCache>
            </c:strRef>
          </c:cat>
          <c:val>
            <c:numRef>
              <c:f>'1000'!$E$49:$L$49</c:f>
              <c:numCache>
                <c:formatCode>#,##0</c:formatCode>
                <c:ptCount val="8"/>
                <c:pt idx="0">
                  <c:v>6246</c:v>
                </c:pt>
                <c:pt idx="1">
                  <c:v>2683</c:v>
                </c:pt>
                <c:pt idx="2">
                  <c:v>31926</c:v>
                </c:pt>
                <c:pt idx="3">
                  <c:v>21519</c:v>
                </c:pt>
                <c:pt idx="4">
                  <c:v>19968</c:v>
                </c:pt>
                <c:pt idx="5">
                  <c:v>13277</c:v>
                </c:pt>
                <c:pt idx="6">
                  <c:v>16421</c:v>
                </c:pt>
                <c:pt idx="7">
                  <c:v>3738</c:v>
                </c:pt>
              </c:numCache>
            </c:numRef>
          </c:val>
        </c:ser>
        <c:ser>
          <c:idx val="2"/>
          <c:order val="1"/>
          <c:tx>
            <c:strRef>
              <c:f>'1000'!$A$48</c:f>
              <c:strCache>
                <c:ptCount val="1"/>
                <c:pt idx="0">
                  <c:v>    Remove Instance</c:v>
                </c:pt>
              </c:strCache>
            </c:strRef>
          </c:tx>
          <c:cat>
            <c:strRef>
              <c:f>'1000'!$E$4:$L$4</c:f>
              <c:strCache>
                <c:ptCount val="8"/>
                <c:pt idx="0">
                  <c:v>Entity Framework</c:v>
                </c:pt>
                <c:pt idx="1">
                  <c:v>LINQ to SQL</c:v>
                </c:pt>
                <c:pt idx="2">
                  <c:v>BLToolkit</c:v>
                </c:pt>
                <c:pt idx="3">
                  <c:v>DataObjects.Net</c:v>
                </c:pt>
                <c:pt idx="4">
                  <c:v>LinqConnect</c:v>
                </c:pt>
                <c:pt idx="5">
                  <c:v>NHibernate</c:v>
                </c:pt>
                <c:pt idx="6">
                  <c:v>OpenAccess</c:v>
                </c:pt>
                <c:pt idx="7">
                  <c:v>Subsonic</c:v>
                </c:pt>
              </c:strCache>
            </c:strRef>
          </c:cat>
          <c:val>
            <c:numRef>
              <c:f>'1000'!$E$48:$L$48</c:f>
              <c:numCache>
                <c:formatCode>#,##0</c:formatCode>
                <c:ptCount val="8"/>
                <c:pt idx="0">
                  <c:v>7026</c:v>
                </c:pt>
                <c:pt idx="1">
                  <c:v>2244</c:v>
                </c:pt>
                <c:pt idx="2">
                  <c:v>60092</c:v>
                </c:pt>
                <c:pt idx="3">
                  <c:v>25306</c:v>
                </c:pt>
                <c:pt idx="4">
                  <c:v>27844</c:v>
                </c:pt>
                <c:pt idx="5">
                  <c:v>14416</c:v>
                </c:pt>
                <c:pt idx="6">
                  <c:v>24660</c:v>
                </c:pt>
                <c:pt idx="7">
                  <c:v>3982</c:v>
                </c:pt>
              </c:numCache>
            </c:numRef>
          </c:val>
        </c:ser>
        <c:ser>
          <c:idx val="1"/>
          <c:order val="2"/>
          <c:tx>
            <c:strRef>
              <c:f>'1000'!$A$47</c:f>
              <c:strCache>
                <c:ptCount val="1"/>
                <c:pt idx="0">
                  <c:v>    Update Instance</c:v>
                </c:pt>
              </c:strCache>
            </c:strRef>
          </c:tx>
          <c:cat>
            <c:strRef>
              <c:f>'1000'!$E$4:$L$4</c:f>
              <c:strCache>
                <c:ptCount val="8"/>
                <c:pt idx="0">
                  <c:v>Entity Framework</c:v>
                </c:pt>
                <c:pt idx="1">
                  <c:v>LINQ to SQL</c:v>
                </c:pt>
                <c:pt idx="2">
                  <c:v>BLToolkit</c:v>
                </c:pt>
                <c:pt idx="3">
                  <c:v>DataObjects.Net</c:v>
                </c:pt>
                <c:pt idx="4">
                  <c:v>LinqConnect</c:v>
                </c:pt>
                <c:pt idx="5">
                  <c:v>NHibernate</c:v>
                </c:pt>
                <c:pt idx="6">
                  <c:v>OpenAccess</c:v>
                </c:pt>
                <c:pt idx="7">
                  <c:v>Subsonic</c:v>
                </c:pt>
              </c:strCache>
            </c:strRef>
          </c:cat>
          <c:val>
            <c:numRef>
              <c:f>'1000'!$E$47:$L$47</c:f>
              <c:numCache>
                <c:formatCode>#,##0</c:formatCode>
                <c:ptCount val="8"/>
                <c:pt idx="0">
                  <c:v>6571</c:v>
                </c:pt>
                <c:pt idx="1">
                  <c:v>2101</c:v>
                </c:pt>
                <c:pt idx="2">
                  <c:v>39244</c:v>
                </c:pt>
                <c:pt idx="3">
                  <c:v>21465</c:v>
                </c:pt>
                <c:pt idx="4">
                  <c:v>21876</c:v>
                </c:pt>
                <c:pt idx="5">
                  <c:v>13413</c:v>
                </c:pt>
                <c:pt idx="6">
                  <c:v>13729</c:v>
                </c:pt>
                <c:pt idx="7">
                  <c:v>3788</c:v>
                </c:pt>
              </c:numCache>
            </c:numRef>
          </c:val>
        </c:ser>
        <c:ser>
          <c:idx val="0"/>
          <c:order val="3"/>
          <c:tx>
            <c:strRef>
              <c:f>'1000'!$A$46</c:f>
              <c:strCache>
                <c:ptCount val="1"/>
                <c:pt idx="0">
                  <c:v>    Create Instance</c:v>
                </c:pt>
              </c:strCache>
            </c:strRef>
          </c:tx>
          <c:cat>
            <c:strRef>
              <c:f>'1000'!$E$4:$L$4</c:f>
              <c:strCache>
                <c:ptCount val="8"/>
                <c:pt idx="0">
                  <c:v>Entity Framework</c:v>
                </c:pt>
                <c:pt idx="1">
                  <c:v>LINQ to SQL</c:v>
                </c:pt>
                <c:pt idx="2">
                  <c:v>BLToolkit</c:v>
                </c:pt>
                <c:pt idx="3">
                  <c:v>DataObjects.Net</c:v>
                </c:pt>
                <c:pt idx="4">
                  <c:v>LinqConnect</c:v>
                </c:pt>
                <c:pt idx="5">
                  <c:v>NHibernate</c:v>
                </c:pt>
                <c:pt idx="6">
                  <c:v>OpenAccess</c:v>
                </c:pt>
                <c:pt idx="7">
                  <c:v>Subsonic</c:v>
                </c:pt>
              </c:strCache>
            </c:strRef>
          </c:cat>
          <c:val>
            <c:numRef>
              <c:f>'1000'!$E$46:$L$46</c:f>
              <c:numCache>
                <c:formatCode>#,##0</c:formatCode>
                <c:ptCount val="8"/>
                <c:pt idx="0">
                  <c:v>5383</c:v>
                </c:pt>
                <c:pt idx="1">
                  <c:v>5124</c:v>
                </c:pt>
                <c:pt idx="2">
                  <c:v>19329</c:v>
                </c:pt>
                <c:pt idx="3">
                  <c:v>19086</c:v>
                </c:pt>
                <c:pt idx="4">
                  <c:v>14929</c:v>
                </c:pt>
                <c:pt idx="5">
                  <c:v>12417</c:v>
                </c:pt>
                <c:pt idx="6">
                  <c:v>14443</c:v>
                </c:pt>
                <c:pt idx="7">
                  <c:v>3711</c:v>
                </c:pt>
              </c:numCache>
            </c:numRef>
          </c:val>
        </c:ser>
        <c:gapWidth val="75"/>
        <c:overlap val="-25"/>
        <c:axId val="135616384"/>
        <c:axId val="135617920"/>
      </c:barChart>
      <c:catAx>
        <c:axId val="135616384"/>
        <c:scaling>
          <c:orientation val="minMax"/>
        </c:scaling>
        <c:axPos val="l"/>
        <c:majorTickMark val="none"/>
        <c:tickLblPos val="nextTo"/>
        <c:crossAx val="135617920"/>
        <c:crosses val="autoZero"/>
        <c:auto val="1"/>
        <c:lblAlgn val="ctr"/>
        <c:lblOffset val="100"/>
      </c:catAx>
      <c:valAx>
        <c:axId val="135617920"/>
        <c:scaling>
          <c:orientation val="minMax"/>
          <c:min val="0"/>
        </c:scaling>
        <c:axPos val="b"/>
        <c:majorGridlines/>
        <c:numFmt formatCode="#,##0" sourceLinked="1"/>
        <c:majorTickMark val="none"/>
        <c:tickLblPos val="nextTo"/>
        <c:crossAx val="135616384"/>
        <c:crosses val="autoZero"/>
        <c:crossBetween val="between"/>
      </c:valAx>
    </c:plotArea>
    <c:legend>
      <c:legendPos val="b"/>
      <c:layout/>
    </c:legend>
    <c:plotVisOnly val="1"/>
  </c:chart>
  <c:printSettings>
    <c:headerFooter/>
    <c:pageMargins b="0.75000000000000688" l="0.70000000000000062" r="0.70000000000000062" t="0.75000000000000688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23130</xdr:colOff>
      <xdr:row>134</xdr:row>
      <xdr:rowOff>0</xdr:rowOff>
    </xdr:from>
    <xdr:to>
      <xdr:col>12</xdr:col>
      <xdr:colOff>636930</xdr:colOff>
      <xdr:row>152</xdr:row>
      <xdr:rowOff>167651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114</xdr:row>
      <xdr:rowOff>3183</xdr:rowOff>
    </xdr:from>
    <xdr:to>
      <xdr:col>5</xdr:col>
      <xdr:colOff>547125</xdr:colOff>
      <xdr:row>132</xdr:row>
      <xdr:rowOff>175981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93</xdr:row>
      <xdr:rowOff>186880</xdr:rowOff>
    </xdr:from>
    <xdr:to>
      <xdr:col>5</xdr:col>
      <xdr:colOff>547125</xdr:colOff>
      <xdr:row>112</xdr:row>
      <xdr:rowOff>169178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23130</xdr:colOff>
      <xdr:row>114</xdr:row>
      <xdr:rowOff>924</xdr:rowOff>
    </xdr:from>
    <xdr:to>
      <xdr:col>12</xdr:col>
      <xdr:colOff>636930</xdr:colOff>
      <xdr:row>132</xdr:row>
      <xdr:rowOff>173722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76</xdr:row>
      <xdr:rowOff>0</xdr:rowOff>
    </xdr:from>
    <xdr:to>
      <xdr:col>5</xdr:col>
      <xdr:colOff>547125</xdr:colOff>
      <xdr:row>93</xdr:row>
      <xdr:rowOff>91156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23130</xdr:colOff>
      <xdr:row>94</xdr:row>
      <xdr:rowOff>2040</xdr:rowOff>
    </xdr:from>
    <xdr:to>
      <xdr:col>12</xdr:col>
      <xdr:colOff>636930</xdr:colOff>
      <xdr:row>112</xdr:row>
      <xdr:rowOff>173040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134</xdr:row>
      <xdr:rowOff>0</xdr:rowOff>
    </xdr:from>
    <xdr:to>
      <xdr:col>5</xdr:col>
      <xdr:colOff>547125</xdr:colOff>
      <xdr:row>152</xdr:row>
      <xdr:rowOff>170594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Table1" displayName="Table1" ref="A4:M74" totalsRowShown="0" headerRowDxfId="12">
  <autoFilter ref="A4:M74">
    <filterColumn colId="1"/>
    <filterColumn colId="2"/>
    <filterColumn colId="3"/>
    <filterColumn colId="4"/>
    <filterColumn colId="5"/>
    <filterColumn colId="7"/>
    <filterColumn colId="11"/>
  </autoFilter>
  <tableColumns count="13">
    <tableColumn id="1" name="Test name" dataDxfId="11"/>
    <tableColumn id="14" name="Minimum" dataDxfId="10"/>
    <tableColumn id="13" name="Maximum" dataDxfId="9"/>
    <tableColumn id="10" name="SqlClient" dataDxfId="8"/>
    <tableColumn id="3" name="Entity Framework" dataDxfId="7"/>
    <tableColumn id="9" name="LINQ to SQL" dataDxfId="6"/>
    <tableColumn id="2" name="BLToolkit" dataDxfId="5"/>
    <tableColumn id="15" name="DataObjects.Net" dataDxfId="4"/>
    <tableColumn id="4" name="LinqConnect" dataDxfId="3"/>
    <tableColumn id="6" name="NHibernate" dataDxfId="2"/>
    <tableColumn id="7" name="OpenAccess" dataDxfId="1"/>
    <tableColumn id="11" name="Subsonic"/>
    <tableColumn id="8" name="Unit" dataDxfId="0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ormbattle.net/index.php/performance-tests.html" TargetMode="External"/><Relationship Id="rId6" Type="http://schemas.openxmlformats.org/officeDocument/2006/relationships/comments" Target="../comments1.xml"/><Relationship Id="rId5" Type="http://schemas.openxmlformats.org/officeDocument/2006/relationships/table" Target="../tables/table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O113"/>
  <sheetViews>
    <sheetView tabSelected="1" zoomScale="115" zoomScaleNormal="115" workbookViewId="0">
      <selection activeCell="A6" sqref="A6"/>
    </sheetView>
  </sheetViews>
  <sheetFormatPr defaultRowHeight="15"/>
  <cols>
    <col min="1" max="1" width="30.42578125" customWidth="1"/>
    <col min="2" max="3" width="4.7109375" style="29" customWidth="1"/>
    <col min="4" max="4" width="9.7109375" customWidth="1"/>
    <col min="5" max="6" width="9.7109375" style="29" customWidth="1"/>
    <col min="7" max="7" width="9.7109375" customWidth="1"/>
    <col min="8" max="8" width="9.7109375" style="29" customWidth="1"/>
    <col min="9" max="11" width="9.7109375" customWidth="1"/>
    <col min="12" max="12" width="9.7109375" style="29" customWidth="1"/>
    <col min="13" max="13" width="9.7109375" customWidth="1"/>
  </cols>
  <sheetData>
    <row r="1" spans="1:13" ht="18.75">
      <c r="A1" s="10" t="s">
        <v>88</v>
      </c>
      <c r="B1" s="10"/>
      <c r="C1" s="10"/>
    </row>
    <row r="2" spans="1:13">
      <c r="A2" s="29" t="s">
        <v>89</v>
      </c>
    </row>
    <row r="3" spans="1:13" s="11" customFormat="1">
      <c r="A3" s="27"/>
      <c r="B3" s="32"/>
      <c r="C3" s="32"/>
      <c r="D3" s="27"/>
      <c r="E3" s="32"/>
      <c r="F3" s="32"/>
      <c r="G3" s="28"/>
      <c r="H3" s="33"/>
      <c r="I3" s="28"/>
      <c r="J3" s="34"/>
      <c r="K3" s="35"/>
      <c r="L3" s="35"/>
      <c r="M3" s="63" t="s">
        <v>81</v>
      </c>
    </row>
    <row r="4" spans="1:13" ht="87.75">
      <c r="A4" s="1" t="s">
        <v>3</v>
      </c>
      <c r="B4" s="15" t="s">
        <v>38</v>
      </c>
      <c r="C4" s="15" t="s">
        <v>39</v>
      </c>
      <c r="D4" s="15" t="s">
        <v>0</v>
      </c>
      <c r="E4" s="16" t="s">
        <v>66</v>
      </c>
      <c r="F4" s="16" t="s">
        <v>82</v>
      </c>
      <c r="G4" s="16" t="s">
        <v>13</v>
      </c>
      <c r="H4" s="16" t="s">
        <v>83</v>
      </c>
      <c r="I4" s="16" t="s">
        <v>87</v>
      </c>
      <c r="J4" s="16" t="s">
        <v>10</v>
      </c>
      <c r="K4" s="16" t="s">
        <v>1</v>
      </c>
      <c r="L4" s="16" t="s">
        <v>4</v>
      </c>
      <c r="M4" s="16" t="s">
        <v>14</v>
      </c>
    </row>
    <row r="5" spans="1:13">
      <c r="A5" s="7" t="s">
        <v>81</v>
      </c>
      <c r="B5" s="3"/>
      <c r="C5" s="3"/>
      <c r="D5" s="3"/>
      <c r="E5" s="3"/>
      <c r="F5" s="3"/>
      <c r="G5" s="36"/>
      <c r="H5" s="36"/>
      <c r="I5" s="36"/>
      <c r="J5" s="36"/>
      <c r="K5" s="36"/>
      <c r="L5" s="43"/>
      <c r="M5" s="20"/>
    </row>
    <row r="6" spans="1:13" s="29" customFormat="1">
      <c r="A6" s="1" t="s">
        <v>15</v>
      </c>
      <c r="B6" s="44">
        <v>0</v>
      </c>
      <c r="C6" s="29">
        <v>5</v>
      </c>
      <c r="D6" s="58" t="s">
        <v>8</v>
      </c>
      <c r="E6" s="29">
        <v>0</v>
      </c>
      <c r="F6" s="29">
        <v>0</v>
      </c>
      <c r="G6" s="29">
        <v>1</v>
      </c>
      <c r="H6" s="29">
        <v>0</v>
      </c>
      <c r="I6" s="29">
        <v>1</v>
      </c>
      <c r="J6" s="29">
        <v>3</v>
      </c>
      <c r="K6" s="29">
        <v>1</v>
      </c>
      <c r="L6" s="52" t="s">
        <v>8</v>
      </c>
      <c r="M6" s="40" t="s">
        <v>16</v>
      </c>
    </row>
    <row r="7" spans="1:13" s="29" customFormat="1">
      <c r="A7" s="1" t="s">
        <v>17</v>
      </c>
      <c r="B7" s="44">
        <v>0</v>
      </c>
      <c r="C7" s="29">
        <v>6</v>
      </c>
      <c r="D7" s="58" t="s">
        <v>8</v>
      </c>
      <c r="E7" s="29">
        <v>0</v>
      </c>
      <c r="F7" s="29">
        <v>1</v>
      </c>
      <c r="G7" s="29">
        <v>1</v>
      </c>
      <c r="H7" s="29">
        <v>0</v>
      </c>
      <c r="I7" s="29">
        <v>1</v>
      </c>
      <c r="J7" s="29">
        <v>4.2</v>
      </c>
      <c r="K7" s="29">
        <v>3</v>
      </c>
      <c r="L7" s="52" t="s">
        <v>8</v>
      </c>
      <c r="M7" s="40" t="s">
        <v>16</v>
      </c>
    </row>
    <row r="8" spans="1:13" s="29" customFormat="1">
      <c r="A8" s="1" t="s">
        <v>18</v>
      </c>
      <c r="B8" s="44">
        <v>0</v>
      </c>
      <c r="C8" s="29">
        <v>6</v>
      </c>
      <c r="D8" s="58" t="s">
        <v>8</v>
      </c>
      <c r="E8" s="29">
        <v>0</v>
      </c>
      <c r="F8" s="29">
        <v>0</v>
      </c>
      <c r="G8" s="29">
        <v>6</v>
      </c>
      <c r="H8" s="29">
        <v>0</v>
      </c>
      <c r="I8" s="29">
        <v>2</v>
      </c>
      <c r="J8" s="29">
        <v>6</v>
      </c>
      <c r="K8" s="29">
        <v>4</v>
      </c>
      <c r="L8" s="52" t="s">
        <v>8</v>
      </c>
      <c r="M8" s="40" t="s">
        <v>16</v>
      </c>
    </row>
    <row r="9" spans="1:13" s="29" customFormat="1">
      <c r="A9" s="1" t="s">
        <v>19</v>
      </c>
      <c r="B9" s="44">
        <v>0</v>
      </c>
      <c r="C9" s="29">
        <v>9</v>
      </c>
      <c r="D9" s="58" t="s">
        <v>8</v>
      </c>
      <c r="E9" s="29">
        <v>4</v>
      </c>
      <c r="F9" s="29">
        <v>2</v>
      </c>
      <c r="G9" s="29">
        <v>5</v>
      </c>
      <c r="H9" s="29">
        <v>0</v>
      </c>
      <c r="I9" s="29">
        <v>0</v>
      </c>
      <c r="J9" s="29">
        <v>6</v>
      </c>
      <c r="K9" s="29">
        <v>5</v>
      </c>
      <c r="L9" s="52" t="s">
        <v>8</v>
      </c>
      <c r="M9" s="40" t="s">
        <v>16</v>
      </c>
    </row>
    <row r="10" spans="1:13" s="29" customFormat="1">
      <c r="A10" s="1" t="s">
        <v>20</v>
      </c>
      <c r="B10" s="44">
        <v>0</v>
      </c>
      <c r="C10" s="29">
        <v>12</v>
      </c>
      <c r="D10" s="58" t="s">
        <v>8</v>
      </c>
      <c r="E10" s="29">
        <v>4.2</v>
      </c>
      <c r="F10" s="29">
        <v>2.2000000000000002</v>
      </c>
      <c r="G10" s="29">
        <v>0</v>
      </c>
      <c r="H10" s="29">
        <v>0</v>
      </c>
      <c r="I10" s="29">
        <v>0</v>
      </c>
      <c r="J10" s="29">
        <v>6.1</v>
      </c>
      <c r="K10" s="29">
        <v>0</v>
      </c>
      <c r="L10" s="52" t="s">
        <v>8</v>
      </c>
      <c r="M10" s="40" t="s">
        <v>16</v>
      </c>
    </row>
    <row r="11" spans="1:13" s="29" customFormat="1">
      <c r="A11" s="1" t="s">
        <v>21</v>
      </c>
      <c r="B11" s="44">
        <v>0</v>
      </c>
      <c r="C11" s="29">
        <v>10</v>
      </c>
      <c r="D11" s="58" t="s">
        <v>8</v>
      </c>
      <c r="E11" s="29">
        <v>1</v>
      </c>
      <c r="F11" s="29">
        <v>1</v>
      </c>
      <c r="G11" s="29">
        <v>3</v>
      </c>
      <c r="H11" s="29">
        <v>0</v>
      </c>
      <c r="I11" s="29">
        <v>2</v>
      </c>
      <c r="J11" s="29">
        <v>10.199999999999999</v>
      </c>
      <c r="K11" s="29">
        <v>2</v>
      </c>
      <c r="L11" s="52" t="s">
        <v>8</v>
      </c>
      <c r="M11" s="40" t="s">
        <v>16</v>
      </c>
    </row>
    <row r="12" spans="1:13" s="29" customFormat="1">
      <c r="A12" s="1" t="s">
        <v>22</v>
      </c>
      <c r="B12" s="44">
        <v>0</v>
      </c>
      <c r="C12" s="29">
        <v>4</v>
      </c>
      <c r="D12" s="58" t="s">
        <v>8</v>
      </c>
      <c r="E12" s="29">
        <v>0</v>
      </c>
      <c r="F12" s="29">
        <v>0</v>
      </c>
      <c r="G12" s="29">
        <v>0</v>
      </c>
      <c r="H12" s="29">
        <v>0</v>
      </c>
      <c r="I12" s="29">
        <v>1</v>
      </c>
      <c r="J12" s="29">
        <v>4</v>
      </c>
      <c r="K12" s="29">
        <v>1</v>
      </c>
      <c r="L12" s="52" t="s">
        <v>8</v>
      </c>
      <c r="M12" s="40" t="s">
        <v>16</v>
      </c>
    </row>
    <row r="13" spans="1:13" s="29" customFormat="1">
      <c r="A13" s="1" t="s">
        <v>23</v>
      </c>
      <c r="B13" s="44">
        <v>0</v>
      </c>
      <c r="C13" s="29">
        <v>8</v>
      </c>
      <c r="D13" s="58" t="s">
        <v>8</v>
      </c>
      <c r="E13" s="29">
        <v>2.1</v>
      </c>
      <c r="F13" s="29">
        <v>2</v>
      </c>
      <c r="G13" s="29">
        <v>0</v>
      </c>
      <c r="H13" s="29">
        <v>0</v>
      </c>
      <c r="I13" s="29">
        <v>2</v>
      </c>
      <c r="J13" s="29">
        <v>6</v>
      </c>
      <c r="K13" s="29">
        <v>1.1000000000000001</v>
      </c>
      <c r="L13" s="52" t="s">
        <v>8</v>
      </c>
      <c r="M13" s="40" t="s">
        <v>16</v>
      </c>
    </row>
    <row r="14" spans="1:13" s="29" customFormat="1">
      <c r="A14" s="1" t="s">
        <v>24</v>
      </c>
      <c r="B14" s="44">
        <v>0</v>
      </c>
      <c r="C14" s="29">
        <v>13</v>
      </c>
      <c r="D14" s="58" t="s">
        <v>8</v>
      </c>
      <c r="E14" s="29">
        <v>1</v>
      </c>
      <c r="F14" s="29">
        <v>1</v>
      </c>
      <c r="G14" s="29">
        <v>2.1</v>
      </c>
      <c r="H14" s="29">
        <v>0</v>
      </c>
      <c r="I14" s="29">
        <v>1</v>
      </c>
      <c r="J14" s="29">
        <v>6.1</v>
      </c>
      <c r="K14" s="29">
        <v>1.1000000000000001</v>
      </c>
      <c r="L14" s="52" t="s">
        <v>8</v>
      </c>
      <c r="M14" s="40" t="s">
        <v>16</v>
      </c>
    </row>
    <row r="15" spans="1:13" s="29" customFormat="1">
      <c r="A15" s="1" t="s">
        <v>25</v>
      </c>
      <c r="B15" s="44">
        <v>0</v>
      </c>
      <c r="C15" s="29">
        <v>4</v>
      </c>
      <c r="D15" s="58" t="s">
        <v>8</v>
      </c>
      <c r="E15" s="29">
        <v>0</v>
      </c>
      <c r="F15" s="29">
        <v>0</v>
      </c>
      <c r="G15" s="29">
        <v>0</v>
      </c>
      <c r="H15" s="29">
        <v>0</v>
      </c>
      <c r="I15" s="29">
        <v>0</v>
      </c>
      <c r="J15" s="29">
        <v>3</v>
      </c>
      <c r="K15" s="29">
        <v>0</v>
      </c>
      <c r="L15" s="52" t="s">
        <v>8</v>
      </c>
      <c r="M15" s="40" t="s">
        <v>16</v>
      </c>
    </row>
    <row r="16" spans="1:13" s="29" customFormat="1">
      <c r="A16" s="1" t="s">
        <v>26</v>
      </c>
      <c r="B16" s="44">
        <v>0</v>
      </c>
      <c r="C16" s="29">
        <v>9</v>
      </c>
      <c r="D16" s="58" t="s">
        <v>8</v>
      </c>
      <c r="E16" s="29">
        <v>0</v>
      </c>
      <c r="F16" s="29">
        <v>0</v>
      </c>
      <c r="G16" s="29">
        <v>0</v>
      </c>
      <c r="H16" s="29">
        <v>0</v>
      </c>
      <c r="I16" s="29">
        <v>1</v>
      </c>
      <c r="J16" s="29">
        <v>6.2</v>
      </c>
      <c r="K16" s="29">
        <v>0</v>
      </c>
      <c r="L16" s="52" t="s">
        <v>8</v>
      </c>
      <c r="M16" s="40" t="s">
        <v>16</v>
      </c>
    </row>
    <row r="17" spans="1:13" s="29" customFormat="1">
      <c r="A17" s="1" t="s">
        <v>27</v>
      </c>
      <c r="B17" s="44">
        <v>0</v>
      </c>
      <c r="C17" s="29">
        <v>25</v>
      </c>
      <c r="D17" s="58" t="s">
        <v>8</v>
      </c>
      <c r="E17" s="29">
        <v>11.1</v>
      </c>
      <c r="F17" s="29">
        <v>3.1</v>
      </c>
      <c r="G17" s="29">
        <v>0</v>
      </c>
      <c r="H17" s="29">
        <v>2</v>
      </c>
      <c r="I17" s="29">
        <v>3.1</v>
      </c>
      <c r="J17" s="29">
        <v>20</v>
      </c>
      <c r="K17" s="29">
        <v>8.1</v>
      </c>
      <c r="L17" s="52" t="s">
        <v>8</v>
      </c>
      <c r="M17" s="40" t="s">
        <v>16</v>
      </c>
    </row>
    <row r="18" spans="1:13" s="29" customFormat="1">
      <c r="A18" s="1" t="s">
        <v>28</v>
      </c>
      <c r="B18" s="44">
        <v>0</v>
      </c>
      <c r="C18" s="29">
        <v>5</v>
      </c>
      <c r="D18" s="58" t="s">
        <v>8</v>
      </c>
      <c r="E18" s="29">
        <v>1</v>
      </c>
      <c r="F18" s="29">
        <v>0</v>
      </c>
      <c r="G18" s="29">
        <v>1</v>
      </c>
      <c r="H18" s="29">
        <v>0</v>
      </c>
      <c r="I18" s="29">
        <v>0</v>
      </c>
      <c r="J18" s="29">
        <v>2.1</v>
      </c>
      <c r="K18" s="29">
        <v>1</v>
      </c>
      <c r="L18" s="52" t="s">
        <v>8</v>
      </c>
      <c r="M18" s="40" t="s">
        <v>16</v>
      </c>
    </row>
    <row r="19" spans="1:13" s="29" customFormat="1">
      <c r="A19" s="1" t="s">
        <v>29</v>
      </c>
      <c r="B19" s="44">
        <v>0</v>
      </c>
      <c r="C19" s="29">
        <v>5</v>
      </c>
      <c r="D19" s="58" t="s">
        <v>8</v>
      </c>
      <c r="E19" s="29">
        <v>1</v>
      </c>
      <c r="F19" s="29">
        <v>1</v>
      </c>
      <c r="G19" s="29">
        <v>0</v>
      </c>
      <c r="H19" s="29">
        <v>0</v>
      </c>
      <c r="I19" s="29">
        <v>1</v>
      </c>
      <c r="J19" s="29">
        <v>4</v>
      </c>
      <c r="K19" s="29">
        <v>0</v>
      </c>
      <c r="L19" s="52" t="s">
        <v>8</v>
      </c>
      <c r="M19" s="40" t="s">
        <v>16</v>
      </c>
    </row>
    <row r="20" spans="1:13" s="29" customFormat="1">
      <c r="A20" s="4"/>
      <c r="B20" s="47"/>
      <c r="D20" s="47"/>
      <c r="L20" s="47"/>
      <c r="M20" s="42"/>
    </row>
    <row r="21" spans="1:13" s="29" customFormat="1">
      <c r="A21" s="7" t="s">
        <v>65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</row>
    <row r="22" spans="1:13" s="29" customFormat="1">
      <c r="A22" s="1" t="s">
        <v>30</v>
      </c>
      <c r="B22" s="51">
        <v>0</v>
      </c>
      <c r="C22" s="29">
        <v>121</v>
      </c>
      <c r="D22" s="59" t="s">
        <v>8</v>
      </c>
      <c r="E22" s="29">
        <v>121</v>
      </c>
      <c r="F22" s="29">
        <v>121</v>
      </c>
      <c r="G22" s="29">
        <v>121</v>
      </c>
      <c r="H22" s="29">
        <v>121</v>
      </c>
      <c r="I22" s="29">
        <v>121</v>
      </c>
      <c r="J22" s="29">
        <v>121</v>
      </c>
      <c r="K22" s="29">
        <v>121</v>
      </c>
      <c r="L22" s="50" t="s">
        <v>8</v>
      </c>
      <c r="M22" s="40" t="s">
        <v>31</v>
      </c>
    </row>
    <row r="23" spans="1:13" s="29" customFormat="1">
      <c r="A23" s="1" t="s">
        <v>32</v>
      </c>
      <c r="B23" s="51">
        <v>0</v>
      </c>
      <c r="C23" s="29">
        <v>121</v>
      </c>
      <c r="D23" s="59" t="s">
        <v>8</v>
      </c>
      <c r="E23" s="29">
        <v>96</v>
      </c>
      <c r="F23" s="29">
        <v>108</v>
      </c>
      <c r="G23" s="29">
        <v>102</v>
      </c>
      <c r="H23" s="29">
        <v>119</v>
      </c>
      <c r="I23" s="29">
        <v>106</v>
      </c>
      <c r="J23" s="29">
        <v>35</v>
      </c>
      <c r="K23" s="29">
        <v>94</v>
      </c>
      <c r="L23" s="50" t="s">
        <v>8</v>
      </c>
      <c r="M23" s="40" t="s">
        <v>31</v>
      </c>
    </row>
    <row r="24" spans="1:13" s="29" customFormat="1">
      <c r="A24" s="1" t="s">
        <v>33</v>
      </c>
      <c r="B24" s="44">
        <v>0</v>
      </c>
      <c r="C24" s="29">
        <v>121</v>
      </c>
      <c r="D24" s="58" t="s">
        <v>8</v>
      </c>
      <c r="E24" s="29">
        <v>25</v>
      </c>
      <c r="F24" s="29">
        <v>13</v>
      </c>
      <c r="G24" s="29">
        <v>19</v>
      </c>
      <c r="H24" s="29">
        <v>2</v>
      </c>
      <c r="I24" s="29">
        <v>15</v>
      </c>
      <c r="J24" s="29">
        <v>86</v>
      </c>
      <c r="K24" s="29">
        <v>27</v>
      </c>
      <c r="L24" s="52" t="s">
        <v>8</v>
      </c>
      <c r="M24" s="40" t="s">
        <v>31</v>
      </c>
    </row>
    <row r="25" spans="1:13" s="29" customFormat="1">
      <c r="A25" s="1" t="s">
        <v>34</v>
      </c>
      <c r="B25" s="44">
        <v>0</v>
      </c>
      <c r="C25" s="29">
        <v>121</v>
      </c>
      <c r="D25" s="58" t="s">
        <v>8</v>
      </c>
      <c r="E25" s="29">
        <v>21</v>
      </c>
      <c r="F25" s="29">
        <v>10</v>
      </c>
      <c r="G25" s="29">
        <v>18</v>
      </c>
      <c r="H25" s="29">
        <v>2</v>
      </c>
      <c r="I25" s="29">
        <v>14</v>
      </c>
      <c r="J25" s="29">
        <v>77</v>
      </c>
      <c r="K25" s="29">
        <v>24</v>
      </c>
      <c r="L25" s="52" t="s">
        <v>8</v>
      </c>
      <c r="M25" s="40" t="s">
        <v>31</v>
      </c>
    </row>
    <row r="26" spans="1:13" s="29" customFormat="1">
      <c r="A26" s="1" t="s">
        <v>35</v>
      </c>
      <c r="B26" s="44">
        <v>0</v>
      </c>
      <c r="C26" s="29">
        <v>121</v>
      </c>
      <c r="D26" s="58" t="s">
        <v>8</v>
      </c>
      <c r="E26" s="29">
        <v>4</v>
      </c>
      <c r="F26" s="29">
        <v>3</v>
      </c>
      <c r="G26" s="29">
        <v>1</v>
      </c>
      <c r="H26" s="29">
        <v>0</v>
      </c>
      <c r="I26" s="29">
        <v>1</v>
      </c>
      <c r="J26" s="29">
        <v>9</v>
      </c>
      <c r="K26" s="29">
        <v>3</v>
      </c>
      <c r="L26" s="52" t="s">
        <v>8</v>
      </c>
      <c r="M26" s="40" t="s">
        <v>31</v>
      </c>
    </row>
    <row r="27" spans="1:13" s="29" customFormat="1">
      <c r="A27" s="39" t="s">
        <v>36</v>
      </c>
      <c r="B27" s="37">
        <v>0</v>
      </c>
      <c r="C27" s="29">
        <v>100</v>
      </c>
      <c r="D27" s="59" t="s">
        <v>8</v>
      </c>
      <c r="E27" s="29">
        <v>79.3</v>
      </c>
      <c r="F27" s="29">
        <v>89.3</v>
      </c>
      <c r="G27" s="29">
        <v>84.3</v>
      </c>
      <c r="H27" s="29">
        <v>98.3</v>
      </c>
      <c r="I27" s="29">
        <v>87.6</v>
      </c>
      <c r="J27" s="29">
        <v>28.9</v>
      </c>
      <c r="K27" s="29">
        <v>77.7</v>
      </c>
      <c r="L27" s="50" t="s">
        <v>8</v>
      </c>
      <c r="M27" s="40" t="s">
        <v>37</v>
      </c>
    </row>
    <row r="28" spans="1:13" s="29" customFormat="1">
      <c r="A28" s="4"/>
      <c r="B28" s="5"/>
      <c r="C28" s="5"/>
      <c r="D28" s="5"/>
      <c r="E28" s="5"/>
      <c r="F28" s="5"/>
      <c r="G28" s="13"/>
      <c r="H28" s="13"/>
      <c r="I28" s="13"/>
      <c r="J28" s="13"/>
      <c r="K28" s="13"/>
      <c r="L28" s="13"/>
      <c r="M28" s="13"/>
    </row>
    <row r="29" spans="1:13" s="29" customFormat="1">
      <c r="A29" s="14" t="s">
        <v>2</v>
      </c>
      <c r="B29" s="21"/>
      <c r="C29" s="21"/>
      <c r="D29" s="21"/>
      <c r="E29" s="21"/>
      <c r="F29" s="21"/>
      <c r="G29" s="21"/>
      <c r="H29" s="64" t="s">
        <v>86</v>
      </c>
      <c r="I29" s="30"/>
      <c r="J29" s="22"/>
      <c r="K29" s="24"/>
      <c r="L29" s="23"/>
      <c r="M29" s="31" t="s">
        <v>11</v>
      </c>
    </row>
    <row r="30" spans="1:13" s="29" customFormat="1">
      <c r="A30" s="4"/>
      <c r="B30" s="5"/>
      <c r="C30" s="5"/>
      <c r="D30" s="5"/>
      <c r="E30" s="5"/>
      <c r="F30" s="5"/>
      <c r="G30" s="13"/>
      <c r="H30" s="13"/>
      <c r="I30" s="13"/>
      <c r="J30" s="13"/>
      <c r="K30" s="13"/>
      <c r="L30" s="13"/>
      <c r="M30" s="13"/>
    </row>
    <row r="31" spans="1:13" s="29" customFormat="1">
      <c r="A31" s="7" t="s">
        <v>67</v>
      </c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</row>
    <row r="32" spans="1:13" s="29" customFormat="1">
      <c r="A32" s="6" t="s">
        <v>68</v>
      </c>
      <c r="B32" s="60" t="s">
        <v>84</v>
      </c>
      <c r="C32" s="53"/>
      <c r="D32" s="53"/>
      <c r="E32" s="53"/>
      <c r="F32" s="53"/>
      <c r="G32" s="38"/>
      <c r="H32" s="38"/>
      <c r="I32" s="38"/>
      <c r="J32" s="38"/>
      <c r="K32" s="38"/>
      <c r="M32" s="38"/>
    </row>
    <row r="33" spans="1:13" s="29" customFormat="1">
      <c r="A33" s="6" t="s">
        <v>69</v>
      </c>
      <c r="B33" s="53" t="s">
        <v>75</v>
      </c>
      <c r="C33" s="53"/>
      <c r="D33" s="53"/>
      <c r="E33" s="53"/>
      <c r="F33" s="53"/>
      <c r="G33" s="38"/>
      <c r="H33" s="38"/>
      <c r="I33" s="38"/>
      <c r="J33" s="38"/>
      <c r="K33" s="38"/>
      <c r="M33" s="38"/>
    </row>
    <row r="34" spans="1:13" s="29" customFormat="1">
      <c r="A34" s="6" t="s">
        <v>70</v>
      </c>
      <c r="B34" s="53" t="s">
        <v>76</v>
      </c>
      <c r="C34" s="53"/>
      <c r="D34" s="53"/>
      <c r="E34" s="53"/>
      <c r="F34" s="53"/>
      <c r="G34" s="38"/>
      <c r="H34" s="38"/>
      <c r="I34" s="38"/>
      <c r="J34" s="38"/>
      <c r="K34" s="38"/>
      <c r="M34" s="38"/>
    </row>
    <row r="35" spans="1:13" s="29" customFormat="1">
      <c r="A35" s="4"/>
      <c r="B35" s="5"/>
      <c r="C35" s="5"/>
      <c r="D35" s="5"/>
      <c r="E35" s="5"/>
      <c r="F35" s="5"/>
      <c r="G35" s="13"/>
      <c r="H35" s="13"/>
      <c r="I35" s="13"/>
      <c r="J35" s="13"/>
      <c r="K35" s="13"/>
      <c r="L35" s="13"/>
      <c r="M35" s="13"/>
    </row>
    <row r="36" spans="1:13" s="33" customFormat="1">
      <c r="A36" s="32"/>
      <c r="B36" s="32"/>
      <c r="C36" s="32"/>
      <c r="D36" s="32"/>
      <c r="E36" s="32"/>
      <c r="F36" s="32"/>
      <c r="J36" s="34"/>
      <c r="K36" s="35"/>
      <c r="L36" s="35"/>
      <c r="M36" s="34" t="s">
        <v>12</v>
      </c>
    </row>
    <row r="37" spans="1:13" s="29" customFormat="1" ht="87.75">
      <c r="A37" s="56" t="s">
        <v>3</v>
      </c>
      <c r="B37" s="55" t="s">
        <v>38</v>
      </c>
      <c r="C37" s="55" t="s">
        <v>39</v>
      </c>
      <c r="D37" s="55" t="s">
        <v>0</v>
      </c>
      <c r="E37" s="55" t="s">
        <v>66</v>
      </c>
      <c r="F37" s="55" t="s">
        <v>82</v>
      </c>
      <c r="G37" s="55" t="s">
        <v>13</v>
      </c>
      <c r="H37" s="55" t="s">
        <v>83</v>
      </c>
      <c r="I37" s="55" t="s">
        <v>87</v>
      </c>
      <c r="J37" s="55" t="s">
        <v>10</v>
      </c>
      <c r="K37" s="55" t="s">
        <v>1</v>
      </c>
      <c r="L37" s="55" t="s">
        <v>4</v>
      </c>
      <c r="M37" s="55" t="s">
        <v>14</v>
      </c>
    </row>
    <row r="38" spans="1:13" s="29" customFormat="1">
      <c r="A38" s="7" t="s">
        <v>40</v>
      </c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</row>
    <row r="39" spans="1:13" s="29" customFormat="1">
      <c r="A39" s="1" t="s">
        <v>41</v>
      </c>
      <c r="B39" s="67">
        <v>0</v>
      </c>
      <c r="C39" s="37"/>
      <c r="D39" s="61" t="str">
        <f>"20 808"</f>
        <v>20 808</v>
      </c>
      <c r="E39" s="69">
        <v>5316</v>
      </c>
      <c r="F39" s="69">
        <v>8855</v>
      </c>
      <c r="G39" s="69">
        <v>11663</v>
      </c>
      <c r="H39" s="69">
        <v>8086</v>
      </c>
      <c r="I39" s="69">
        <v>12007</v>
      </c>
      <c r="J39" s="69">
        <v>6070</v>
      </c>
      <c r="K39" s="69">
        <v>5493</v>
      </c>
      <c r="L39" s="69">
        <v>8332</v>
      </c>
      <c r="M39" s="40" t="s">
        <v>42</v>
      </c>
    </row>
    <row r="40" spans="1:13" s="29" customFormat="1">
      <c r="A40" s="1" t="s">
        <v>43</v>
      </c>
      <c r="B40" s="45"/>
      <c r="C40" s="45"/>
      <c r="D40" s="74"/>
      <c r="E40" s="69"/>
      <c r="F40" s="69"/>
      <c r="G40" s="69"/>
      <c r="H40" s="69"/>
      <c r="I40" s="69"/>
      <c r="J40" s="69"/>
      <c r="K40" s="69"/>
      <c r="L40" s="69"/>
      <c r="M40" s="40"/>
    </row>
    <row r="41" spans="1:13" s="29" customFormat="1">
      <c r="A41" s="1" t="s">
        <v>44</v>
      </c>
      <c r="B41" s="67">
        <v>0</v>
      </c>
      <c r="C41" s="37"/>
      <c r="D41" s="61" t="str">
        <f>"17 048"</f>
        <v>17 048</v>
      </c>
      <c r="E41" s="69">
        <v>3619</v>
      </c>
      <c r="F41" s="69">
        <v>3409</v>
      </c>
      <c r="G41" s="69">
        <v>11047</v>
      </c>
      <c r="H41" s="69">
        <v>6737</v>
      </c>
      <c r="I41" s="69">
        <v>8478</v>
      </c>
      <c r="J41" s="69">
        <v>3599</v>
      </c>
      <c r="K41" s="69">
        <v>8914</v>
      </c>
      <c r="L41" s="69">
        <v>3269</v>
      </c>
      <c r="M41" s="40" t="s">
        <v>42</v>
      </c>
    </row>
    <row r="42" spans="1:13" s="29" customFormat="1">
      <c r="A42" s="1" t="s">
        <v>45</v>
      </c>
      <c r="B42" s="67">
        <v>0</v>
      </c>
      <c r="C42" s="37"/>
      <c r="D42" s="61" t="str">
        <f>"16 738"</f>
        <v>16 738</v>
      </c>
      <c r="E42" s="69">
        <v>4128</v>
      </c>
      <c r="F42" s="69">
        <v>1723</v>
      </c>
      <c r="G42" s="69">
        <v>10730</v>
      </c>
      <c r="H42" s="69">
        <v>8770</v>
      </c>
      <c r="I42" s="69">
        <v>10405</v>
      </c>
      <c r="J42" s="69">
        <v>683</v>
      </c>
      <c r="K42" s="69">
        <v>8531</v>
      </c>
      <c r="L42" s="69">
        <v>3788</v>
      </c>
      <c r="M42" s="40" t="s">
        <v>42</v>
      </c>
    </row>
    <row r="43" spans="1:13" s="29" customFormat="1">
      <c r="A43" s="1" t="s">
        <v>46</v>
      </c>
      <c r="B43" s="67">
        <v>0</v>
      </c>
      <c r="C43" s="37"/>
      <c r="D43" s="61" t="str">
        <f>"17 666"</f>
        <v>17 666</v>
      </c>
      <c r="E43" s="69">
        <v>4781</v>
      </c>
      <c r="F43" s="69">
        <v>1950</v>
      </c>
      <c r="G43" s="69">
        <v>11193</v>
      </c>
      <c r="H43" s="69">
        <v>9144</v>
      </c>
      <c r="I43" s="69">
        <v>11130</v>
      </c>
      <c r="J43" s="69">
        <v>1149</v>
      </c>
      <c r="K43" s="69">
        <v>9870</v>
      </c>
      <c r="L43" s="69">
        <v>4004</v>
      </c>
      <c r="M43" s="40" t="s">
        <v>42</v>
      </c>
    </row>
    <row r="44" spans="1:13" s="29" customFormat="1">
      <c r="A44" s="1" t="s">
        <v>47</v>
      </c>
      <c r="B44" s="67">
        <v>0</v>
      </c>
      <c r="C44" s="37"/>
      <c r="D44" s="61" t="str">
        <f>"17 142"</f>
        <v>17 142</v>
      </c>
      <c r="E44" s="69">
        <v>4105</v>
      </c>
      <c r="F44" s="69">
        <v>2163</v>
      </c>
      <c r="G44" s="69">
        <v>10986</v>
      </c>
      <c r="H44" s="69">
        <v>8036</v>
      </c>
      <c r="I44" s="69">
        <v>9853</v>
      </c>
      <c r="J44" s="69">
        <v>1148</v>
      </c>
      <c r="K44" s="69">
        <v>8972</v>
      </c>
      <c r="L44" s="69">
        <v>3602</v>
      </c>
      <c r="M44" s="40" t="s">
        <v>42</v>
      </c>
    </row>
    <row r="45" spans="1:13" s="29" customFormat="1">
      <c r="A45" s="1" t="s">
        <v>48</v>
      </c>
      <c r="B45" s="45"/>
      <c r="C45" s="45"/>
      <c r="D45" s="74"/>
      <c r="E45" s="69"/>
      <c r="F45" s="69"/>
      <c r="G45" s="69"/>
      <c r="H45" s="69"/>
      <c r="I45" s="69"/>
      <c r="J45" s="69"/>
      <c r="K45" s="69"/>
      <c r="L45" s="69"/>
      <c r="M45" s="40"/>
    </row>
    <row r="46" spans="1:13" s="29" customFormat="1">
      <c r="A46" s="1" t="s">
        <v>44</v>
      </c>
      <c r="B46" s="67">
        <v>0</v>
      </c>
      <c r="C46" s="37"/>
      <c r="D46" s="61" t="str">
        <f>"39 342"</f>
        <v>39 342</v>
      </c>
      <c r="E46" s="69">
        <v>5383</v>
      </c>
      <c r="F46" s="69">
        <v>5124</v>
      </c>
      <c r="G46" s="70">
        <v>19329</v>
      </c>
      <c r="H46" s="69">
        <v>19086</v>
      </c>
      <c r="I46" s="69">
        <v>14929</v>
      </c>
      <c r="J46" s="70">
        <v>12417</v>
      </c>
      <c r="K46" s="69">
        <v>14443</v>
      </c>
      <c r="L46" s="69">
        <v>3711</v>
      </c>
      <c r="M46" s="40" t="s">
        <v>42</v>
      </c>
    </row>
    <row r="47" spans="1:13" s="29" customFormat="1">
      <c r="A47" s="1" t="s">
        <v>45</v>
      </c>
      <c r="B47" s="67">
        <v>0</v>
      </c>
      <c r="C47" s="37"/>
      <c r="D47" s="61" t="str">
        <f>"41 532"</f>
        <v>41 532</v>
      </c>
      <c r="E47" s="69">
        <v>6571</v>
      </c>
      <c r="F47" s="69">
        <v>2101</v>
      </c>
      <c r="G47" s="70">
        <v>39244</v>
      </c>
      <c r="H47" s="69">
        <v>21465</v>
      </c>
      <c r="I47" s="69">
        <v>21876</v>
      </c>
      <c r="J47" s="70">
        <v>13413</v>
      </c>
      <c r="K47" s="69">
        <v>13729</v>
      </c>
      <c r="L47" s="69">
        <v>3788</v>
      </c>
      <c r="M47" s="40" t="s">
        <v>42</v>
      </c>
    </row>
    <row r="48" spans="1:13" s="29" customFormat="1">
      <c r="A48" s="1" t="s">
        <v>46</v>
      </c>
      <c r="B48" s="67">
        <v>0</v>
      </c>
      <c r="C48" s="37"/>
      <c r="D48" s="61" t="str">
        <f>"25 463"</f>
        <v>25 463</v>
      </c>
      <c r="E48" s="69">
        <v>7026</v>
      </c>
      <c r="F48" s="69">
        <v>2244</v>
      </c>
      <c r="G48" s="71">
        <v>60092</v>
      </c>
      <c r="H48" s="69">
        <v>25306</v>
      </c>
      <c r="I48" s="69">
        <v>27844</v>
      </c>
      <c r="J48" s="71">
        <v>14416</v>
      </c>
      <c r="K48" s="69">
        <v>24660</v>
      </c>
      <c r="L48" s="69">
        <v>3982</v>
      </c>
      <c r="M48" s="40" t="s">
        <v>42</v>
      </c>
    </row>
    <row r="49" spans="1:13" s="29" customFormat="1">
      <c r="A49" s="1" t="s">
        <v>47</v>
      </c>
      <c r="B49" s="67">
        <v>0</v>
      </c>
      <c r="C49" s="37"/>
      <c r="D49" s="61" t="str">
        <f>"33 750"</f>
        <v>33 750</v>
      </c>
      <c r="E49" s="69">
        <v>6246</v>
      </c>
      <c r="F49" s="69">
        <v>2683</v>
      </c>
      <c r="G49" s="70">
        <v>31926</v>
      </c>
      <c r="H49" s="69">
        <v>21519</v>
      </c>
      <c r="I49" s="69">
        <v>19968</v>
      </c>
      <c r="J49" s="70">
        <v>13277</v>
      </c>
      <c r="K49" s="69">
        <v>16421</v>
      </c>
      <c r="L49" s="69">
        <v>3738</v>
      </c>
      <c r="M49" s="40" t="s">
        <v>42</v>
      </c>
    </row>
    <row r="50" spans="1:13" s="29" customFormat="1">
      <c r="A50" s="4"/>
      <c r="B50" s="47"/>
      <c r="C50" s="47"/>
      <c r="D50" s="75"/>
      <c r="E50" s="69"/>
      <c r="F50" s="69"/>
      <c r="G50" s="69"/>
      <c r="H50" s="69"/>
      <c r="I50" s="69"/>
      <c r="J50" s="69"/>
      <c r="K50" s="69"/>
      <c r="L50" s="69"/>
      <c r="M50" s="4"/>
    </row>
    <row r="51" spans="1:13" s="29" customFormat="1">
      <c r="A51" s="7" t="s">
        <v>49</v>
      </c>
      <c r="B51" s="7"/>
      <c r="C51" s="7"/>
      <c r="D51" s="76"/>
      <c r="E51" s="66"/>
      <c r="F51" s="66"/>
      <c r="G51" s="66"/>
      <c r="H51" s="66"/>
      <c r="I51" s="66"/>
      <c r="J51" s="66"/>
      <c r="K51" s="66"/>
      <c r="L51" s="66"/>
      <c r="M51" s="7"/>
    </row>
    <row r="52" spans="1:13" s="29" customFormat="1">
      <c r="A52" s="1" t="s">
        <v>50</v>
      </c>
      <c r="B52" s="41"/>
      <c r="C52" s="41"/>
      <c r="D52" s="77"/>
      <c r="E52" s="69"/>
      <c r="F52" s="69"/>
      <c r="G52" s="69"/>
      <c r="H52" s="69"/>
      <c r="I52" s="69"/>
      <c r="J52" s="69"/>
      <c r="K52" s="69"/>
      <c r="L52" s="69"/>
      <c r="M52" s="40"/>
    </row>
    <row r="53" spans="1:13" s="29" customFormat="1">
      <c r="A53" s="1" t="s">
        <v>51</v>
      </c>
      <c r="B53" s="67">
        <v>0</v>
      </c>
      <c r="C53" s="37"/>
      <c r="D53" s="73" t="s">
        <v>8</v>
      </c>
      <c r="E53" s="69">
        <v>563</v>
      </c>
      <c r="F53" s="69">
        <v>743</v>
      </c>
      <c r="G53" s="69">
        <v>8064</v>
      </c>
      <c r="H53" s="69">
        <v>1414</v>
      </c>
      <c r="I53" s="69">
        <v>2980</v>
      </c>
      <c r="J53" s="69">
        <v>1008</v>
      </c>
      <c r="K53" s="69">
        <v>3298</v>
      </c>
      <c r="L53" s="69">
        <v>231</v>
      </c>
      <c r="M53" s="40" t="s">
        <v>52</v>
      </c>
    </row>
    <row r="54" spans="1:13" s="29" customFormat="1">
      <c r="A54" s="1" t="s">
        <v>53</v>
      </c>
      <c r="B54" s="67">
        <v>0</v>
      </c>
      <c r="C54" s="37"/>
      <c r="D54" s="73" t="s">
        <v>8</v>
      </c>
      <c r="E54" s="69">
        <v>6586</v>
      </c>
      <c r="F54" s="69">
        <v>9575</v>
      </c>
      <c r="G54" s="69">
        <v>12601</v>
      </c>
      <c r="H54" s="69">
        <v>9029</v>
      </c>
      <c r="I54" s="78">
        <v>9732</v>
      </c>
      <c r="J54" s="79" t="s">
        <v>8</v>
      </c>
      <c r="K54" s="69">
        <v>3383</v>
      </c>
      <c r="L54" s="79" t="s">
        <v>8</v>
      </c>
      <c r="M54" s="40" t="s">
        <v>52</v>
      </c>
    </row>
    <row r="55" spans="1:13" s="29" customFormat="1">
      <c r="A55" s="1" t="s">
        <v>54</v>
      </c>
      <c r="B55" s="67">
        <v>0</v>
      </c>
      <c r="C55" s="37"/>
      <c r="D55" s="61" t="str">
        <f>"18 017"</f>
        <v>18 017</v>
      </c>
      <c r="E55" s="69">
        <v>8758</v>
      </c>
      <c r="F55" s="79" t="s">
        <v>8</v>
      </c>
      <c r="G55" s="69">
        <v>15374</v>
      </c>
      <c r="H55" s="69">
        <v>10898</v>
      </c>
      <c r="I55" s="72" t="s">
        <v>8</v>
      </c>
      <c r="J55" s="69">
        <v>3945</v>
      </c>
      <c r="K55" s="69">
        <v>6174</v>
      </c>
      <c r="L55" s="69">
        <v>7656</v>
      </c>
      <c r="M55" s="40" t="s">
        <v>52</v>
      </c>
    </row>
    <row r="56" spans="1:13" s="29" customFormat="1">
      <c r="A56" s="1" t="s">
        <v>55</v>
      </c>
      <c r="B56" s="41"/>
      <c r="C56" s="41"/>
      <c r="D56" s="77"/>
      <c r="E56" s="69"/>
      <c r="F56" s="69"/>
      <c r="G56" s="69"/>
      <c r="H56" s="69"/>
      <c r="I56" s="69"/>
      <c r="J56" s="69"/>
      <c r="K56" s="69"/>
      <c r="L56" s="69"/>
      <c r="M56" s="40"/>
    </row>
    <row r="57" spans="1:13" s="29" customFormat="1">
      <c r="A57" s="1" t="s">
        <v>56</v>
      </c>
      <c r="B57" s="67">
        <v>0</v>
      </c>
      <c r="C57" s="37"/>
      <c r="D57" s="73" t="s">
        <v>8</v>
      </c>
      <c r="E57" s="69">
        <v>4600</v>
      </c>
      <c r="F57" s="69">
        <v>7779</v>
      </c>
      <c r="G57" s="69">
        <v>10608</v>
      </c>
      <c r="H57" s="69">
        <v>6769</v>
      </c>
      <c r="I57" s="69">
        <v>6912</v>
      </c>
      <c r="J57" s="69">
        <v>707</v>
      </c>
      <c r="K57" s="69">
        <v>3057</v>
      </c>
      <c r="L57" s="69">
        <v>221</v>
      </c>
      <c r="M57" s="40" t="s">
        <v>57</v>
      </c>
    </row>
    <row r="58" spans="1:13" s="29" customFormat="1">
      <c r="A58" s="1" t="s">
        <v>58</v>
      </c>
      <c r="B58" s="67">
        <v>0</v>
      </c>
      <c r="C58" s="37"/>
      <c r="D58" s="73" t="s">
        <v>8</v>
      </c>
      <c r="E58" s="69">
        <v>3708</v>
      </c>
      <c r="F58" s="69">
        <v>7050</v>
      </c>
      <c r="G58" s="69">
        <v>9174</v>
      </c>
      <c r="H58" s="69">
        <v>5246</v>
      </c>
      <c r="I58" s="69">
        <v>5290</v>
      </c>
      <c r="J58" s="69">
        <v>631</v>
      </c>
      <c r="K58" s="69">
        <v>2805</v>
      </c>
      <c r="L58" s="69">
        <v>212</v>
      </c>
      <c r="M58" s="40" t="s">
        <v>57</v>
      </c>
    </row>
    <row r="59" spans="1:13">
      <c r="A59" s="1" t="s">
        <v>59</v>
      </c>
      <c r="B59" s="67">
        <v>0</v>
      </c>
      <c r="C59" s="37"/>
      <c r="D59" s="73" t="s">
        <v>8</v>
      </c>
      <c r="E59" s="69">
        <v>2348</v>
      </c>
      <c r="F59" s="69">
        <v>5373</v>
      </c>
      <c r="G59" s="69">
        <v>6494</v>
      </c>
      <c r="H59" s="69">
        <v>3198</v>
      </c>
      <c r="I59" s="69">
        <v>3151</v>
      </c>
      <c r="J59" s="69">
        <v>496</v>
      </c>
      <c r="K59" s="69">
        <v>2235</v>
      </c>
      <c r="L59" s="69">
        <v>191</v>
      </c>
      <c r="M59" s="40" t="s">
        <v>57</v>
      </c>
    </row>
    <row r="60" spans="1:13">
      <c r="A60" s="1" t="s">
        <v>60</v>
      </c>
      <c r="B60" s="67">
        <v>0</v>
      </c>
      <c r="C60" s="37"/>
      <c r="D60" s="73" t="s">
        <v>8</v>
      </c>
      <c r="E60" s="69">
        <v>1467</v>
      </c>
      <c r="F60" s="69">
        <v>3910</v>
      </c>
      <c r="G60" s="69">
        <v>4538</v>
      </c>
      <c r="H60" s="69">
        <v>1929</v>
      </c>
      <c r="I60" s="69">
        <v>1890</v>
      </c>
      <c r="J60" s="69">
        <v>325</v>
      </c>
      <c r="K60" s="69">
        <v>1671</v>
      </c>
      <c r="L60" s="69">
        <v>189</v>
      </c>
      <c r="M60" s="40" t="s">
        <v>57</v>
      </c>
    </row>
    <row r="61" spans="1:13">
      <c r="A61" s="1" t="s">
        <v>61</v>
      </c>
      <c r="B61" s="41"/>
      <c r="C61" s="41"/>
      <c r="D61" s="77"/>
      <c r="E61" s="69"/>
      <c r="F61" s="69"/>
      <c r="G61" s="69"/>
      <c r="H61" s="69"/>
      <c r="I61" s="69"/>
      <c r="J61" s="69"/>
      <c r="K61" s="69"/>
      <c r="L61" s="69"/>
      <c r="M61" s="40"/>
    </row>
    <row r="62" spans="1:13">
      <c r="A62" s="1" t="s">
        <v>62</v>
      </c>
      <c r="B62" s="67">
        <v>0</v>
      </c>
      <c r="C62" s="37"/>
      <c r="D62" s="73" t="s">
        <v>8</v>
      </c>
      <c r="E62" s="69">
        <v>125922</v>
      </c>
      <c r="F62" s="69">
        <v>455497</v>
      </c>
      <c r="G62" s="69">
        <v>549480</v>
      </c>
      <c r="H62" s="69">
        <v>215973</v>
      </c>
      <c r="I62" s="69">
        <v>208281</v>
      </c>
      <c r="J62" s="69">
        <v>37802</v>
      </c>
      <c r="K62" s="69">
        <v>268046</v>
      </c>
      <c r="L62" s="69">
        <v>79624</v>
      </c>
      <c r="M62" s="40" t="s">
        <v>63</v>
      </c>
    </row>
    <row r="63" spans="1:13">
      <c r="A63" s="1" t="s">
        <v>64</v>
      </c>
      <c r="B63" s="68">
        <v>0</v>
      </c>
      <c r="C63" s="51"/>
      <c r="D63" s="61" t="str">
        <f>"1 186 661"</f>
        <v>1 186 661</v>
      </c>
      <c r="E63" s="69">
        <v>201328</v>
      </c>
      <c r="F63" s="80" t="s">
        <v>8</v>
      </c>
      <c r="G63" s="69">
        <v>888651</v>
      </c>
      <c r="H63" s="69">
        <v>281056</v>
      </c>
      <c r="I63" s="72" t="s">
        <v>8</v>
      </c>
      <c r="J63" s="69">
        <v>49879</v>
      </c>
      <c r="K63" s="69">
        <v>344317</v>
      </c>
      <c r="L63" s="69">
        <v>124055</v>
      </c>
      <c r="M63" s="40" t="s">
        <v>63</v>
      </c>
    </row>
    <row r="64" spans="1:13">
      <c r="A64" s="4"/>
      <c r="B64" s="48"/>
      <c r="C64" s="48"/>
      <c r="D64" s="48"/>
      <c r="E64" s="48"/>
      <c r="F64" s="48"/>
      <c r="G64" s="49"/>
      <c r="H64" s="49"/>
      <c r="I64" s="49"/>
      <c r="J64" s="49"/>
      <c r="K64" s="49"/>
      <c r="L64" s="48"/>
      <c r="M64" s="48"/>
    </row>
    <row r="65" spans="1:15">
      <c r="A65" s="7" t="s">
        <v>7</v>
      </c>
      <c r="B65" s="21"/>
      <c r="C65" s="19"/>
      <c r="D65" s="21"/>
      <c r="E65" s="36"/>
      <c r="F65" s="36"/>
      <c r="G65" s="3"/>
      <c r="H65" s="3"/>
      <c r="I65" s="3"/>
      <c r="J65" s="3"/>
      <c r="K65" s="3"/>
      <c r="L65" s="3"/>
      <c r="M65" s="3"/>
    </row>
    <row r="66" spans="1:15">
      <c r="A66" s="9" t="s">
        <v>5</v>
      </c>
      <c r="B66" s="21"/>
      <c r="C66" s="46"/>
      <c r="D66" s="57" t="s">
        <v>8</v>
      </c>
      <c r="E66" s="65" t="s">
        <v>8</v>
      </c>
      <c r="F66" s="65" t="s">
        <v>8</v>
      </c>
      <c r="G66" s="12">
        <v>1584128</v>
      </c>
      <c r="H66" s="17">
        <v>4345856</v>
      </c>
      <c r="I66" s="17">
        <v>911872</v>
      </c>
      <c r="J66" s="17">
        <v>2481844</v>
      </c>
      <c r="K66" s="17">
        <v>4755968</v>
      </c>
      <c r="L66" s="18">
        <v>285184</v>
      </c>
      <c r="M66" s="62" t="s">
        <v>85</v>
      </c>
      <c r="O66" s="29"/>
    </row>
    <row r="67" spans="1:15">
      <c r="A67" s="4"/>
      <c r="B67" s="5"/>
      <c r="C67" s="5"/>
      <c r="D67" s="5"/>
      <c r="E67" s="5"/>
      <c r="F67" s="5"/>
      <c r="G67" s="13"/>
      <c r="H67" s="13"/>
      <c r="I67" s="13"/>
      <c r="J67" s="13"/>
      <c r="K67" s="13"/>
      <c r="L67" s="13"/>
      <c r="M67" s="13"/>
    </row>
    <row r="68" spans="1:15">
      <c r="A68" s="14" t="s">
        <v>2</v>
      </c>
      <c r="B68" s="21"/>
      <c r="C68" s="21"/>
      <c r="D68" s="21"/>
      <c r="E68" s="21"/>
      <c r="F68" s="21"/>
      <c r="G68" s="21"/>
      <c r="H68" s="64" t="s">
        <v>86</v>
      </c>
      <c r="I68" s="30"/>
      <c r="J68" s="22"/>
      <c r="K68" s="24"/>
      <c r="L68" s="23"/>
      <c r="M68" s="31" t="s">
        <v>11</v>
      </c>
    </row>
    <row r="69" spans="1:15" s="29" customFormat="1">
      <c r="A69" s="4"/>
      <c r="B69" s="5"/>
      <c r="C69" s="5"/>
      <c r="D69" s="5"/>
      <c r="E69" s="5"/>
      <c r="F69" s="5"/>
      <c r="G69" s="13"/>
      <c r="H69" s="13"/>
      <c r="I69" s="13"/>
      <c r="J69" s="13"/>
      <c r="K69" s="13"/>
      <c r="L69" s="13"/>
      <c r="M69" s="13"/>
    </row>
    <row r="70" spans="1:15">
      <c r="A70" s="7" t="s">
        <v>67</v>
      </c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</row>
    <row r="71" spans="1:15" s="29" customFormat="1">
      <c r="A71" s="6" t="s">
        <v>71</v>
      </c>
      <c r="B71" s="53" t="s">
        <v>77</v>
      </c>
      <c r="C71" s="53"/>
      <c r="D71" s="53"/>
      <c r="E71" s="53"/>
      <c r="F71" s="53"/>
      <c r="G71" s="38"/>
      <c r="H71" s="38"/>
      <c r="I71" s="38"/>
      <c r="J71" s="38"/>
      <c r="K71" s="38"/>
      <c r="M71" s="38"/>
    </row>
    <row r="72" spans="1:15" s="29" customFormat="1">
      <c r="A72" s="6" t="s">
        <v>72</v>
      </c>
      <c r="B72" s="53" t="s">
        <v>78</v>
      </c>
      <c r="C72" s="53"/>
      <c r="D72" s="53"/>
      <c r="E72" s="53"/>
      <c r="F72" s="53"/>
      <c r="G72" s="38"/>
      <c r="H72" s="38"/>
      <c r="I72" s="38"/>
      <c r="J72" s="38"/>
      <c r="K72" s="38"/>
      <c r="M72" s="38"/>
    </row>
    <row r="73" spans="1:15" s="29" customFormat="1">
      <c r="A73" s="6" t="s">
        <v>73</v>
      </c>
      <c r="B73" s="53" t="s">
        <v>79</v>
      </c>
      <c r="C73" s="53"/>
      <c r="D73" s="53"/>
      <c r="E73" s="53"/>
      <c r="F73" s="53"/>
      <c r="G73" s="38"/>
      <c r="H73" s="38"/>
      <c r="I73" s="38"/>
      <c r="J73" s="38"/>
      <c r="K73" s="38"/>
      <c r="M73" s="38"/>
    </row>
    <row r="74" spans="1:15" s="29" customFormat="1">
      <c r="A74" s="6" t="s">
        <v>74</v>
      </c>
      <c r="B74" s="53" t="s">
        <v>80</v>
      </c>
      <c r="C74" s="53"/>
      <c r="D74" s="53"/>
      <c r="E74" s="53"/>
      <c r="F74" s="53"/>
      <c r="G74" s="53"/>
      <c r="H74" s="53"/>
      <c r="I74" s="53"/>
      <c r="J74" s="53"/>
      <c r="K74" s="53"/>
      <c r="L74" s="54"/>
      <c r="M74" s="53"/>
    </row>
    <row r="75" spans="1:15" s="26" customFormat="1">
      <c r="A75" s="25"/>
      <c r="B75" s="32"/>
      <c r="C75" s="32"/>
      <c r="E75" s="33"/>
      <c r="F75" s="33"/>
      <c r="H75" s="33"/>
      <c r="L75" s="33"/>
    </row>
    <row r="76" spans="1:15" s="33" customFormat="1">
      <c r="A76" s="2" t="s">
        <v>6</v>
      </c>
      <c r="B76" s="32"/>
      <c r="C76" s="32"/>
    </row>
    <row r="77" spans="1:15">
      <c r="A77" s="2" t="s">
        <v>6</v>
      </c>
      <c r="B77" s="2"/>
      <c r="C77" s="2"/>
      <c r="D77" s="2"/>
      <c r="E77" s="2"/>
      <c r="F77" s="2"/>
    </row>
    <row r="86" spans="1:12" ht="36">
      <c r="I86" s="8" t="s">
        <v>9</v>
      </c>
      <c r="J86" s="8"/>
    </row>
    <row r="93" spans="1:12">
      <c r="A93" s="2"/>
      <c r="B93" s="2"/>
      <c r="C93" s="2"/>
      <c r="D93" s="2"/>
      <c r="E93" s="2"/>
      <c r="F93" s="2"/>
      <c r="L93"/>
    </row>
    <row r="113" spans="1:12">
      <c r="A113" s="2"/>
      <c r="B113" s="2"/>
      <c r="C113" s="2"/>
      <c r="D113" s="2"/>
      <c r="E113" s="2"/>
      <c r="F113" s="2"/>
      <c r="L113"/>
    </row>
  </sheetData>
  <conditionalFormatting sqref="I68:M68">
    <cfRule type="colorScale" priority="3397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M5">
    <cfRule type="colorScale" priority="3973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J68">
    <cfRule type="colorScale" priority="993">
      <colorScale>
        <cfvo type="percentile" val="10"/>
        <cfvo type="percentile" val="90"/>
        <color rgb="FFFF7128"/>
        <color rgb="FFFFEF9C"/>
      </colorScale>
    </cfRule>
    <cfRule type="top10" dxfId="66" priority="994" percent="1" rank="33"/>
    <cfRule type="top10" dxfId="65" priority="995" percent="1" rank="33"/>
    <cfRule type="top10" dxfId="64" priority="996" rank="1"/>
  </conditionalFormatting>
  <conditionalFormatting sqref="J68">
    <cfRule type="colorScale" priority="992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C68">
    <cfRule type="colorScale" priority="957">
      <colorScale>
        <cfvo type="percentile" val="10"/>
        <cfvo type="percentile" val="90"/>
        <color rgb="FFFF7128"/>
        <color rgb="FFFFEF9C"/>
      </colorScale>
    </cfRule>
    <cfRule type="top10" dxfId="63" priority="958" percent="1" rank="33"/>
    <cfRule type="top10" dxfId="62" priority="959" percent="1" rank="33"/>
    <cfRule type="top10" dxfId="61" priority="960" rank="1"/>
  </conditionalFormatting>
  <conditionalFormatting sqref="C68">
    <cfRule type="colorScale" priority="956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68:F68">
    <cfRule type="colorScale" priority="4901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I68">
    <cfRule type="colorScale" priority="5445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I29">
    <cfRule type="colorScale" priority="193">
      <colorScale>
        <cfvo type="percentile" val="10"/>
        <cfvo type="percentile" val="90"/>
        <color rgb="FFFF7128"/>
        <color rgb="FFFFEF9C"/>
      </colorScale>
    </cfRule>
    <cfRule type="top10" dxfId="60" priority="194" percent="1" rank="33"/>
    <cfRule type="top10" dxfId="59" priority="195" percent="1" rank="33"/>
    <cfRule type="top10" dxfId="58" priority="196" rank="1"/>
  </conditionalFormatting>
  <conditionalFormatting sqref="I29:M29">
    <cfRule type="colorScale" priority="189">
      <colorScale>
        <cfvo type="percentile" val="10"/>
        <cfvo type="percentile" val="90"/>
        <color rgb="FFFF7128"/>
        <color rgb="FFFFEF9C"/>
      </colorScale>
    </cfRule>
    <cfRule type="top10" dxfId="57" priority="190" percent="1" rank="33"/>
    <cfRule type="top10" dxfId="56" priority="191" percent="1" rank="33"/>
    <cfRule type="top10" dxfId="55" priority="192" rank="1"/>
  </conditionalFormatting>
  <conditionalFormatting sqref="I29:M29">
    <cfRule type="colorScale" priority="188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J29">
    <cfRule type="colorScale" priority="179">
      <colorScale>
        <cfvo type="percentile" val="10"/>
        <cfvo type="percentile" val="90"/>
        <color rgb="FFFF7128"/>
        <color rgb="FFFFEF9C"/>
      </colorScale>
    </cfRule>
    <cfRule type="top10" dxfId="54" priority="180" percent="1" rank="33"/>
    <cfRule type="top10" dxfId="53" priority="181" percent="1" rank="33"/>
    <cfRule type="top10" dxfId="52" priority="182" rank="1"/>
  </conditionalFormatting>
  <conditionalFormatting sqref="J29">
    <cfRule type="colorScale" priority="178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C29">
    <cfRule type="colorScale" priority="169">
      <colorScale>
        <cfvo type="percentile" val="10"/>
        <cfvo type="percentile" val="90"/>
        <color rgb="FFFF7128"/>
        <color rgb="FFFFEF9C"/>
      </colorScale>
    </cfRule>
    <cfRule type="top10" dxfId="51" priority="170" percent="1" rank="33"/>
    <cfRule type="top10" dxfId="50" priority="171" percent="1" rank="33"/>
    <cfRule type="top10" dxfId="49" priority="172" rank="1"/>
  </conditionalFormatting>
  <conditionalFormatting sqref="C29">
    <cfRule type="colorScale" priority="168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29:F29">
    <cfRule type="colorScale" priority="159">
      <colorScale>
        <cfvo type="percentile" val="10"/>
        <cfvo type="percentile" val="90"/>
        <color rgb="FFFF7128"/>
        <color rgb="FFFFEF9C"/>
      </colorScale>
    </cfRule>
    <cfRule type="top10" dxfId="48" priority="160" percent="1" rank="33"/>
    <cfRule type="top10" dxfId="47" priority="161" percent="1" rank="33"/>
    <cfRule type="top10" dxfId="46" priority="162" rank="1"/>
  </conditionalFormatting>
  <conditionalFormatting sqref="E29:F29">
    <cfRule type="colorScale" priority="158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I29">
    <cfRule type="colorScale" priority="157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G29">
    <cfRule type="colorScale" priority="142">
      <colorScale>
        <cfvo type="percentile" val="10"/>
        <cfvo type="percentile" val="90"/>
        <color rgb="FFFF7128"/>
        <color rgb="FFFFEF9C"/>
      </colorScale>
    </cfRule>
    <cfRule type="top10" dxfId="45" priority="143" percent="1" rank="33"/>
    <cfRule type="top10" dxfId="44" priority="144" percent="1" rank="33"/>
    <cfRule type="top10" dxfId="43" priority="145" rank="1"/>
  </conditionalFormatting>
  <conditionalFormatting sqref="G29">
    <cfRule type="colorScale" priority="141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H29">
    <cfRule type="colorScale" priority="137">
      <colorScale>
        <cfvo type="percentile" val="10"/>
        <cfvo type="percentile" val="90"/>
        <color rgb="FFFF7128"/>
        <color rgb="FFFFEF9C"/>
      </colorScale>
    </cfRule>
    <cfRule type="top10" dxfId="42" priority="138" percent="1" rank="33"/>
    <cfRule type="top10" dxfId="41" priority="139" percent="1" rank="33"/>
    <cfRule type="top10" dxfId="40" priority="140" rank="1"/>
  </conditionalFormatting>
  <conditionalFormatting sqref="H29">
    <cfRule type="colorScale" priority="136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G68">
    <cfRule type="colorScale" priority="122">
      <colorScale>
        <cfvo type="percentile" val="10"/>
        <cfvo type="percentile" val="90"/>
        <color rgb="FFFF7128"/>
        <color rgb="FFFFEF9C"/>
      </colorScale>
    </cfRule>
    <cfRule type="top10" dxfId="39" priority="123" percent="1" rank="33"/>
    <cfRule type="top10" dxfId="38" priority="124" percent="1" rank="33"/>
    <cfRule type="top10" dxfId="37" priority="125" rank="1"/>
  </conditionalFormatting>
  <conditionalFormatting sqref="G68">
    <cfRule type="colorScale" priority="121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H68">
    <cfRule type="colorScale" priority="117">
      <colorScale>
        <cfvo type="percentile" val="10"/>
        <cfvo type="percentile" val="90"/>
        <color rgb="FFFF7128"/>
        <color rgb="FFFFEF9C"/>
      </colorScale>
    </cfRule>
    <cfRule type="top10" dxfId="36" priority="118" percent="1" rank="33"/>
    <cfRule type="top10" dxfId="35" priority="119" percent="1" rank="33"/>
    <cfRule type="top10" dxfId="34" priority="120" rank="1"/>
  </conditionalFormatting>
  <conditionalFormatting sqref="H68">
    <cfRule type="colorScale" priority="116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G67:M67">
    <cfRule type="colorScale" priority="5446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G68:H68">
    <cfRule type="colorScale" priority="5448">
      <colorScale>
        <cfvo type="percentile" val="10"/>
        <cfvo type="percentile" val="90"/>
        <color rgb="FFFF7128"/>
        <color rgb="FFFFEF9C"/>
      </colorScale>
    </cfRule>
    <cfRule type="top10" dxfId="33" priority="5449" percent="1" rank="33"/>
    <cfRule type="top10" dxfId="32" priority="5450" percent="1" rank="33"/>
    <cfRule type="top10" dxfId="31" priority="5451" rank="1"/>
  </conditionalFormatting>
  <conditionalFormatting sqref="G68:H68">
    <cfRule type="colorScale" priority="5452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68:I68">
    <cfRule type="colorScale" priority="5464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G69:M69">
    <cfRule type="colorScale" priority="5577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G69:M69">
    <cfRule type="colorScale" priority="5579">
      <colorScale>
        <cfvo type="percentile" val="10"/>
        <cfvo type="percentile" val="90"/>
        <color rgb="FFFF7128"/>
        <color rgb="FFFFEF9C"/>
      </colorScale>
    </cfRule>
    <cfRule type="top10" dxfId="30" priority="5580" percent="1" rank="33"/>
    <cfRule type="top10" dxfId="29" priority="5581" percent="1" rank="33"/>
    <cfRule type="top10" dxfId="28" priority="5582" rank="1"/>
  </conditionalFormatting>
  <conditionalFormatting sqref="G28:M28">
    <cfRule type="colorScale" priority="5587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G28:M28">
    <cfRule type="colorScale" priority="5589">
      <colorScale>
        <cfvo type="percentile" val="10"/>
        <cfvo type="percentile" val="90"/>
        <color rgb="FFFF7128"/>
        <color rgb="FFFFEF9C"/>
      </colorScale>
    </cfRule>
    <cfRule type="top10" dxfId="27" priority="5590" percent="1" rank="33"/>
    <cfRule type="top10" dxfId="26" priority="5591" percent="1" rank="33"/>
    <cfRule type="top10" dxfId="25" priority="5592" rank="1"/>
  </conditionalFormatting>
  <conditionalFormatting sqref="G29:H29">
    <cfRule type="colorScale" priority="5597">
      <colorScale>
        <cfvo type="percentile" val="10"/>
        <cfvo type="percentile" val="90"/>
        <color rgb="FFFF7128"/>
        <color rgb="FFFFEF9C"/>
      </colorScale>
    </cfRule>
    <cfRule type="top10" dxfId="24" priority="5598" percent="1" rank="33"/>
    <cfRule type="top10" dxfId="23" priority="5599" percent="1" rank="33"/>
    <cfRule type="top10" dxfId="22" priority="5600" rank="1"/>
  </conditionalFormatting>
  <conditionalFormatting sqref="G29:H29">
    <cfRule type="colorScale" priority="5601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29:I29">
    <cfRule type="colorScale" priority="5607">
      <colorScale>
        <cfvo type="percentile" val="10"/>
        <cfvo type="percentile" val="90"/>
        <color rgb="FFFF7128"/>
        <color rgb="FFFFEF9C"/>
      </colorScale>
    </cfRule>
    <cfRule type="top10" dxfId="21" priority="5608" percent="1" rank="33"/>
    <cfRule type="top10" dxfId="20" priority="5609" percent="1" rank="33"/>
    <cfRule type="top10" dxfId="19" priority="5610" rank="1"/>
  </conditionalFormatting>
  <conditionalFormatting sqref="E29:I29">
    <cfRule type="colorScale" priority="5615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G30:M30">
    <cfRule type="colorScale" priority="5622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H68">
    <cfRule type="colorScale" priority="98">
      <colorScale>
        <cfvo type="percentile" val="10"/>
        <cfvo type="percentile" val="90"/>
        <color rgb="FFFF7128"/>
        <color rgb="FFFFEF9C"/>
      </colorScale>
    </cfRule>
    <cfRule type="top10" dxfId="18" priority="99" percent="1" rank="33"/>
    <cfRule type="top10" dxfId="17" priority="100" percent="1" rank="33"/>
    <cfRule type="top10" dxfId="16" priority="101" rank="1"/>
  </conditionalFormatting>
  <conditionalFormatting sqref="H68">
    <cfRule type="colorScale" priority="97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H68">
    <cfRule type="colorScale" priority="93">
      <colorScale>
        <cfvo type="percentile" val="10"/>
        <cfvo type="percentile" val="90"/>
        <color rgb="FFFF7128"/>
        <color rgb="FFFFEF9C"/>
      </colorScale>
    </cfRule>
    <cfRule type="top10" dxfId="15" priority="94" percent="1" rank="33"/>
    <cfRule type="top10" dxfId="14" priority="95" percent="1" rank="33"/>
    <cfRule type="top10" dxfId="13" priority="96" rank="1"/>
  </conditionalFormatting>
  <conditionalFormatting sqref="H68">
    <cfRule type="colorScale" priority="92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B6:K6">
    <cfRule type="colorScale" priority="85">
      <colorScale>
        <cfvo type="min" val="0"/>
        <cfvo type="percentile" val="50"/>
        <cfvo type="max" val="0"/>
        <color rgb="FF63BE7B"/>
        <color rgb="FFFFEB84"/>
        <color rgb="FFF8696B"/>
      </colorScale>
    </cfRule>
    <cfRule type="colorScale" priority="86">
      <colorScale>
        <cfvo type="min" val="0"/>
        <cfvo type="percentile" val="50"/>
        <cfvo type="max" val="0"/>
        <color rgb="FF63BE7B"/>
        <color rgb="FFFFEB84"/>
        <color rgb="FFF8696B"/>
      </colorScale>
    </cfRule>
    <cfRule type="colorScale" priority="87">
      <colorScale>
        <cfvo type="min" val="0"/>
        <cfvo type="percentile" val="50"/>
        <cfvo type="max" val="0"/>
        <color rgb="FF63BE7B"/>
        <color rgb="FFFFEB84"/>
        <color rgb="FFF8696B"/>
      </colorScale>
    </cfRule>
    <cfRule type="colorScale" priority="88">
      <colorScale>
        <cfvo type="min" val="0"/>
        <cfvo type="percentile" val="50"/>
        <cfvo type="max" val="0"/>
        <color rgb="FF63BE7B"/>
        <color rgb="FFFFEB84"/>
        <color rgb="FFF8696B"/>
      </colorScale>
    </cfRule>
    <cfRule type="colorScale" priority="89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B7:K7">
    <cfRule type="colorScale" priority="84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B8:K8">
    <cfRule type="colorScale" priority="83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B9:K9">
    <cfRule type="colorScale" priority="82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B10:K10">
    <cfRule type="colorScale" priority="81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B11:K11">
    <cfRule type="colorScale" priority="80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B12:K12">
    <cfRule type="colorScale" priority="79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B13:K13">
    <cfRule type="colorScale" priority="78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B14:K14">
    <cfRule type="colorScale" priority="77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B15:K15">
    <cfRule type="colorScale" priority="76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B16:K16">
    <cfRule type="colorScale" priority="75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B17:K17">
    <cfRule type="colorScale" priority="74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B18:K18">
    <cfRule type="colorScale" priority="73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B19:K19">
    <cfRule type="colorScale" priority="72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B22:K22">
    <cfRule type="colorScale" priority="61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B23:K23">
    <cfRule type="colorScale" priority="60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B24:K24">
    <cfRule type="colorScale" priority="59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B26:K26">
    <cfRule type="colorScale" priority="57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B27:K27">
    <cfRule type="colorScale" priority="56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B25:K25">
    <cfRule type="colorScale" priority="54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B39:L39">
    <cfRule type="colorScale" priority="19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B41:L41">
    <cfRule type="colorScale" priority="18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B42:L42">
    <cfRule type="colorScale" priority="17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B43:L43">
    <cfRule type="colorScale" priority="16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B44:L44">
    <cfRule type="colorScale" priority="15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B46:L46">
    <cfRule type="colorScale" priority="14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B47:L47">
    <cfRule type="colorScale" priority="13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B48:L48">
    <cfRule type="colorScale" priority="12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B49:L49">
    <cfRule type="colorScale" priority="11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B53:L53">
    <cfRule type="colorScale" priority="10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B54:L54">
    <cfRule type="colorScale" priority="9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B55:L55">
    <cfRule type="colorScale" priority="8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B57:L57">
    <cfRule type="colorScale" priority="7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B58:L58">
    <cfRule type="colorScale" priority="6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B59:L59">
    <cfRule type="colorScale" priority="5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B60:L60">
    <cfRule type="colorScale" priority="4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B62:L62">
    <cfRule type="colorScale" priority="3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B63:L63">
    <cfRule type="colorScale" priority="2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G35:M35">
    <cfRule type="colorScale" priority="1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hyperlinks>
    <hyperlink ref="M59" r:id="rId1" display="Description"/>
  </hyperlinks>
  <pageMargins left="0.98425196850393704" right="0.98425196850393704" top="0.78740157480314965" bottom="0.78740157480314965" header="0.51181102362204722" footer="0.51181102362204722"/>
  <pageSetup paperSize="9" scale="55" orientation="portrait" cellComments="atEnd" r:id="rId2"/>
  <rowBreaks count="1" manualBreakCount="1">
    <brk id="75" max="16383" man="1"/>
  </rowBreaks>
  <drawing r:id="rId3"/>
  <legacyDrawing r:id="rId4"/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1000</vt:lpstr>
      <vt:lpstr>'1000'!Print_Area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</dc:creator>
  <cp:lastModifiedBy>Alex</cp:lastModifiedBy>
  <cp:lastPrinted>2010-07-30T05:42:10Z</cp:lastPrinted>
  <dcterms:created xsi:type="dcterms:W3CDTF">2009-08-03T07:59:11Z</dcterms:created>
  <dcterms:modified xsi:type="dcterms:W3CDTF">2010-07-30T05:42:50Z</dcterms:modified>
</cp:coreProperties>
</file>